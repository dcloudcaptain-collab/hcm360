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Matrix" sheetId="2" state="visible" r:id="rId2"/>
    <sheet xmlns:r="http://schemas.openxmlformats.org/officeDocument/2006/relationships" name="Gap Backlog" sheetId="3" state="visible" r:id="rId3"/>
    <sheet xmlns:r="http://schemas.openxmlformats.org/officeDocument/2006/relationships" name="Partial Refinements" sheetId="4" state="visible" r:id="rId4"/>
    <sheet xmlns:r="http://schemas.openxmlformats.org/officeDocument/2006/relationships" name="Module Coverage" sheetId="5" state="visible" r:id="rId5"/>
    <sheet xmlns:r="http://schemas.openxmlformats.org/officeDocument/2006/relationships" name="Roadmap" sheetId="6" state="visible" r:id="rId6"/>
  </sheets>
  <definedNames>
    <definedName name="_xlnm._FilterDatabase" localSheetId="1" hidden="1">'Full Matrix'!$A$1:$G$100</definedName>
    <definedName name="_xlnm._FilterDatabase" localSheetId="2" hidden="1">'Gap Backlog'!$A$3:$G$21</definedName>
    <definedName name="_xlnm._FilterDatabase" localSheetId="3" hidden="1">'Partial Refinements'!$A$3:$D$23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1E40AF"/>
      <sz val="16"/>
    </font>
    <font>
      <name val="Arial"/>
      <i val="1"/>
      <color rgb="FF6B7280"/>
      <sz val="10"/>
    </font>
    <font>
      <name val="Arial"/>
      <color rgb="FF9CA3AF"/>
      <sz val="10"/>
    </font>
    <font>
      <name val="Arial"/>
      <b val="1"/>
      <color rgb="FF1E40AF"/>
      <sz val="13"/>
    </font>
    <font>
      <name val="Arial"/>
      <b val="1"/>
      <color rgb="FFFFFFFF"/>
      <sz val="11"/>
    </font>
    <font>
      <name val="Arial"/>
      <b val="1"/>
      <color rgb="FF166534"/>
      <sz val="10"/>
    </font>
    <font>
      <name val="Arial"/>
      <sz val="10"/>
    </font>
    <font>
      <name val="Arial"/>
      <b val="1"/>
      <color rgb="FF92400E"/>
      <sz val="10"/>
    </font>
    <font>
      <name val="Arial"/>
      <b val="1"/>
      <color rgb="FF991B1B"/>
      <sz val="10"/>
    </font>
    <font>
      <name val="Arial"/>
      <b val="1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HCM360 HRIS — LGU Gap Analysis</t>
        </is>
      </c>
    </row>
    <row r="2">
      <c r="A2" s="2" t="inlineStr">
        <is>
          <t>Municipality of Mariveles, Province of Bataan — Human Resource Management Office</t>
        </is>
      </c>
    </row>
    <row r="3">
      <c r="A3" s="3" t="inlineStr">
        <is>
          <t>As Of April 22, 2026  ·  HCM360 v1.0.0</t>
        </is>
      </c>
    </row>
    <row r="5">
      <c r="A5" s="4" t="inlineStr">
        <is>
          <t>Coverage Summary</t>
        </is>
      </c>
    </row>
    <row r="7">
      <c r="A7" s="5" t="inlineStr">
        <is>
          <t>Status</t>
        </is>
      </c>
      <c r="B7" s="5" t="inlineStr">
        <is>
          <t>Count</t>
        </is>
      </c>
      <c r="C7" s="5" t="inlineStr">
        <is>
          <t>% of Total</t>
        </is>
      </c>
      <c r="D7" s="5" t="inlineStr">
        <is>
          <t>Meaning</t>
        </is>
      </c>
    </row>
    <row r="8">
      <c r="A8" s="6" t="inlineStr">
        <is>
          <t>COVERED</t>
        </is>
      </c>
      <c r="B8" s="7">
        <f>COUNTIF('Full Matrix'!C:C,"COVERED")</f>
        <v/>
      </c>
      <c r="C8" s="8">
        <f>B8/$B$11</f>
        <v/>
      </c>
      <c r="D8" s="9" t="inlineStr">
        <is>
          <t>Fully implemented — production-ready for LGU use</t>
        </is>
      </c>
      <c r="E8" s="10" t="n"/>
      <c r="F8" s="11" t="n"/>
    </row>
    <row r="9">
      <c r="A9" s="12" t="inlineStr">
        <is>
          <t>PARTIAL</t>
        </is>
      </c>
      <c r="B9" s="7">
        <f>COUNTIF('Full Matrix'!C:C,"PARTIAL")</f>
        <v/>
      </c>
      <c r="C9" s="8">
        <f>B9/$B$11</f>
        <v/>
      </c>
      <c r="D9" s="9" t="inlineStr">
        <is>
          <t>Exists; requires LGU-specific tuning, templates, or configuration</t>
        </is>
      </c>
      <c r="E9" s="10" t="n"/>
      <c r="F9" s="11" t="n"/>
    </row>
    <row r="10">
      <c r="A10" s="13" t="inlineStr">
        <is>
          <t>GAP</t>
        </is>
      </c>
      <c r="B10" s="7">
        <f>COUNTIF('Full Matrix'!C:C,"GAP")</f>
        <v/>
      </c>
      <c r="C10" s="8">
        <f>B10/$B$11</f>
        <v/>
      </c>
      <c r="D10" s="9" t="inlineStr">
        <is>
          <t>Needs new development before deployment</t>
        </is>
      </c>
      <c r="E10" s="10" t="n"/>
      <c r="F10" s="11" t="n"/>
    </row>
    <row r="11">
      <c r="A11" s="14" t="inlineStr">
        <is>
          <t>TOTAL</t>
        </is>
      </c>
      <c r="B11" s="15">
        <f>SUM(B8:B10)</f>
        <v/>
      </c>
      <c r="C11" s="16" t="n">
        <v>1</v>
      </c>
      <c r="D11" s="17" t="inlineStr">
        <is>
          <t>Requirements mapped from LGU document</t>
        </is>
      </c>
      <c r="E11" s="10" t="n"/>
      <c r="F11" s="11" t="n"/>
    </row>
    <row r="14">
      <c r="A14" s="4" t="inlineStr">
        <is>
          <t>Critical Gaps — Top Priorities for LGU Deployment</t>
        </is>
      </c>
    </row>
    <row r="16">
      <c r="A16" s="18" t="inlineStr">
        <is>
          <t>• CS Form No. 6 (revised 2020) — leave application strict compliance</t>
        </is>
      </c>
    </row>
    <row r="17">
      <c r="A17" s="18" t="inlineStr">
        <is>
          <t>• CS Form No. 7 (s.2017) — Exit Interview</t>
        </is>
      </c>
    </row>
    <row r="18">
      <c r="A18" s="18" t="inlineStr">
        <is>
          <t>• Personal Data Sheet (PDS) — CSC-prescribed template with versioning</t>
        </is>
      </c>
    </row>
    <row r="19">
      <c r="A19" s="18" t="inlineStr">
        <is>
          <t>• IPCR / OPCR performance contract templates</t>
        </is>
      </c>
    </row>
    <row r="20">
      <c r="A20" s="18" t="inlineStr">
        <is>
          <t>• Travel Order + Locator Slip modules (pre-approval + DTR integration)</t>
        </is>
      </c>
    </row>
    <row r="21">
      <c r="A21" s="18" t="inlineStr">
        <is>
          <t>• Face-recognition + mobile geo-tagged check-in (flag raising/lowering)</t>
        </is>
      </c>
    </row>
    <row r="22">
      <c r="A22" s="18" t="inlineStr">
        <is>
          <t>• Step Increment tracking (every 3 years from Date of Original Appointment)</t>
        </is>
      </c>
    </row>
    <row r="23">
      <c r="A23" s="18" t="inlineStr">
        <is>
          <t>• Retirement monitoring (Age 60 early / 65 mandatory) + multi-recipient notice</t>
        </is>
      </c>
    </row>
    <row r="24">
      <c r="A24" s="18" t="inlineStr">
        <is>
          <t>• Job Order / LSB / BHW / Nutritionist Scholar contract workflows</t>
        </is>
      </c>
    </row>
    <row r="25">
      <c r="A25" s="18" t="inlineStr">
        <is>
          <t>• CSC Eligibility reporting split by 1st Level vs 2nd Level by gender</t>
        </is>
      </c>
    </row>
  </sheetData>
  <mergeCells count="19">
    <mergeCell ref="A16:F16"/>
    <mergeCell ref="D11:F11"/>
    <mergeCell ref="A18:F18"/>
    <mergeCell ref="A3:F3"/>
    <mergeCell ref="A21:F21"/>
    <mergeCell ref="A2:F2"/>
    <mergeCell ref="A14:F14"/>
    <mergeCell ref="A5:F5"/>
    <mergeCell ref="A23:F23"/>
    <mergeCell ref="D9:F9"/>
    <mergeCell ref="A17:F17"/>
    <mergeCell ref="A22:F22"/>
    <mergeCell ref="A20:F20"/>
    <mergeCell ref="D8:F8"/>
    <mergeCell ref="A19:F19"/>
    <mergeCell ref="D10:F10"/>
    <mergeCell ref="A24:F2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1" customWidth="1" min="3" max="3"/>
    <col width="28" customWidth="1" min="4" max="4"/>
    <col width="38" customWidth="1" min="5" max="5"/>
    <col width="55" customWidth="1" min="6" max="6"/>
    <col width="10" customWidth="1" min="7" max="7"/>
  </cols>
  <sheetData>
    <row r="1">
      <c r="A1" s="5" t="inlineStr">
        <is>
          <t>Section</t>
        </is>
      </c>
      <c r="B1" s="5" t="inlineStr">
        <is>
          <t>Requirement</t>
        </is>
      </c>
      <c r="C1" s="5" t="inlineStr">
        <is>
          <t>Status</t>
        </is>
      </c>
      <c r="D1" s="5" t="inlineStr">
        <is>
          <t>HCM360 Module</t>
        </is>
      </c>
      <c r="E1" s="5" t="inlineStr">
        <is>
          <t>Page / Route</t>
        </is>
      </c>
      <c r="F1" s="5" t="inlineStr">
        <is>
          <t>Gap / Notes</t>
        </is>
      </c>
      <c r="G1" s="5" t="inlineStr">
        <is>
          <t>Priority</t>
        </is>
      </c>
    </row>
    <row r="2" ht="36" customHeight="1">
      <c r="A2" s="19" t="inlineStr">
        <is>
          <t>1. CSC PRIME-HRM Level 2</t>
        </is>
      </c>
      <c r="B2" s="19" t="inlineStr">
        <is>
          <t>Recruitment, Selection, Placement (RSP)</t>
        </is>
      </c>
      <c r="C2" s="6" t="inlineStr">
        <is>
          <t>COVERED</t>
        </is>
      </c>
      <c r="D2" s="19" t="inlineStr">
        <is>
          <t>Recruitment</t>
        </is>
      </c>
      <c r="E2" s="19" t="inlineStr">
        <is>
          <t>/recruitment</t>
        </is>
      </c>
      <c r="F2" s="19" t="inlineStr">
        <is>
          <t>Requisitions, candidates, CSC eligibilities, qualification standards</t>
        </is>
      </c>
      <c r="G2" s="19" t="inlineStr">
        <is>
          <t>Low</t>
        </is>
      </c>
    </row>
    <row r="3" ht="36" customHeight="1">
      <c r="A3" s="19" t="inlineStr">
        <is>
          <t>1. CSC PRIME-HRM Level 2</t>
        </is>
      </c>
      <c r="B3" s="19" t="inlineStr">
        <is>
          <t>Performance Management (PM)</t>
        </is>
      </c>
      <c r="C3" s="6" t="inlineStr">
        <is>
          <t>COVERED</t>
        </is>
      </c>
      <c r="D3" s="19" t="inlineStr">
        <is>
          <t>Performance Management</t>
        </is>
      </c>
      <c r="E3" s="19" t="inlineStr">
        <is>
          <t>/performance</t>
        </is>
      </c>
      <c r="F3" s="19" t="inlineStr">
        <is>
          <t>Review cycles, KPIs, competency-based evaluation</t>
        </is>
      </c>
      <c r="G3" s="19" t="inlineStr">
        <is>
          <t>Low</t>
        </is>
      </c>
    </row>
    <row r="4" ht="36" customHeight="1">
      <c r="A4" s="19" t="inlineStr">
        <is>
          <t>1. CSC PRIME-HRM Level 2</t>
        </is>
      </c>
      <c r="B4" s="19" t="inlineStr">
        <is>
          <t>Learning and Development (L&amp;D)</t>
        </is>
      </c>
      <c r="C4" s="6" t="inlineStr">
        <is>
          <t>COVERED</t>
        </is>
      </c>
      <c r="D4" s="19" t="inlineStr">
        <is>
          <t>Learning &amp; Development</t>
        </is>
      </c>
      <c r="E4" s="19" t="inlineStr">
        <is>
          <t>/learning</t>
        </is>
      </c>
      <c r="F4" s="19" t="inlineStr">
        <is>
          <t>Training catalog, enrollments, certifications</t>
        </is>
      </c>
      <c r="G4" s="19" t="inlineStr">
        <is>
          <t>Low</t>
        </is>
      </c>
    </row>
    <row r="5" ht="36" customHeight="1">
      <c r="A5" s="19" t="inlineStr">
        <is>
          <t>1. CSC PRIME-HRM Level 2</t>
        </is>
      </c>
      <c r="B5" s="19" t="inlineStr">
        <is>
          <t>Rewards and Recognition (R&amp;R)</t>
        </is>
      </c>
      <c r="C5" s="6" t="inlineStr">
        <is>
          <t>COVERED</t>
        </is>
      </c>
      <c r="D5" s="19" t="inlineStr">
        <is>
          <t>Rewards &amp; Recognition</t>
        </is>
      </c>
      <c r="E5" s="19" t="inlineStr">
        <is>
          <t>/rewards</t>
        </is>
      </c>
      <c r="F5" s="19" t="inlineStr">
        <is>
          <t>Awards, praise wall, nominations</t>
        </is>
      </c>
      <c r="G5" s="19" t="inlineStr">
        <is>
          <t>Low</t>
        </is>
      </c>
    </row>
    <row r="6" ht="36" customHeight="1">
      <c r="A6" s="19" t="inlineStr">
        <is>
          <t>1. CSC PRIME-HRM Level 2</t>
        </is>
      </c>
      <c r="B6" s="19" t="inlineStr">
        <is>
          <t>CSC PRIME-HRM Level 2 certification alignment</t>
        </is>
      </c>
      <c r="C6" s="12" t="inlineStr">
        <is>
          <t>PARTIAL</t>
        </is>
      </c>
      <c r="D6" s="19" t="inlineStr">
        <is>
          <t>All four modules</t>
        </is>
      </c>
      <c r="E6" s="19" t="inlineStr">
        <is>
          <t>/admin/reference</t>
        </is>
      </c>
      <c r="F6" s="19" t="inlineStr">
        <is>
          <t>Modules present; formal CSC audit alignment pending</t>
        </is>
      </c>
      <c r="G6" s="19" t="inlineStr">
        <is>
          <t>High</t>
        </is>
      </c>
    </row>
    <row r="7" ht="36" customHeight="1">
      <c r="A7" s="19" t="inlineStr">
        <is>
          <t>2. Report Generating (Functional)</t>
        </is>
      </c>
      <c r="B7" s="19" t="inlineStr">
        <is>
          <t>Data sources — pull from multiple DBs/systems</t>
        </is>
      </c>
      <c r="C7" s="6" t="inlineStr">
        <is>
          <t>COVERED</t>
        </is>
      </c>
      <c r="D7" s="19" t="inlineStr">
        <is>
          <t>Services</t>
        </is>
      </c>
      <c r="E7" s="19" t="inlineStr">
        <is>
          <t>services/db.py + reporting_service</t>
        </is>
      </c>
      <c r="F7" s="19" t="inlineStr">
        <is>
          <t>Centralized psycopg2 pool with view-based aggregation</t>
        </is>
      </c>
      <c r="G7" s="19" t="inlineStr">
        <is>
          <t>Low</t>
        </is>
      </c>
    </row>
    <row r="8" ht="36" customHeight="1">
      <c r="A8" s="19" t="inlineStr">
        <is>
          <t>2. Report Generating (Functional)</t>
        </is>
      </c>
      <c r="B8" s="19" t="inlineStr">
        <is>
          <t>Report design (drag-drop / designer)</t>
        </is>
      </c>
      <c r="C8" s="12" t="inlineStr">
        <is>
          <t>PARTIAL</t>
        </is>
      </c>
      <c r="D8" s="19" t="inlineStr">
        <is>
          <t>Analytics</t>
        </is>
      </c>
      <c r="E8" s="19" t="inlineStr">
        <is>
          <t>/reports (report builder)</t>
        </is>
      </c>
      <c r="F8" s="19" t="inlineStr">
        <is>
          <t>Saved queries + parameters; drag-drop UI would enhance</t>
        </is>
      </c>
      <c r="G8" s="19" t="inlineStr">
        <is>
          <t>Medium</t>
        </is>
      </c>
    </row>
    <row r="9" ht="36" customHeight="1">
      <c r="A9" s="19" t="inlineStr">
        <is>
          <t>2. Report Generating (Functional)</t>
        </is>
      </c>
      <c r="B9" s="19" t="inlineStr">
        <is>
          <t>Data analysis (query, analyze, summarize)</t>
        </is>
      </c>
      <c r="C9" s="6" t="inlineStr">
        <is>
          <t>COVERED</t>
        </is>
      </c>
      <c r="D9" s="19" t="inlineStr">
        <is>
          <t>Analytics</t>
        </is>
      </c>
      <c r="E9" s="19" t="inlineStr">
        <is>
          <t>/reports/demographics, /reports</t>
        </is>
      </c>
      <c r="F9" s="19" t="inlineStr">
        <is>
          <t>Materialized views + SQL-driven metrics</t>
        </is>
      </c>
      <c r="G9" s="19" t="inlineStr">
        <is>
          <t>Low</t>
        </is>
      </c>
    </row>
    <row r="10" ht="36" customHeight="1">
      <c r="A10" s="19" t="inlineStr">
        <is>
          <t>2. Report Generating (Functional)</t>
        </is>
      </c>
      <c r="B10" s="19" t="inlineStr">
        <is>
          <t>Manual + automated report generation</t>
        </is>
      </c>
      <c r="C10" s="6" t="inlineStr">
        <is>
          <t>COVERED</t>
        </is>
      </c>
      <c r="D10" s="19" t="inlineStr">
        <is>
          <t>Analytics + Reminders</t>
        </is>
      </c>
      <c r="E10" s="19" t="inlineStr">
        <is>
          <t>/admin/reminders, /reports</t>
        </is>
      </c>
      <c r="F10" s="19" t="inlineStr">
        <is>
          <t>Reminder rules can trigger scheduled reports</t>
        </is>
      </c>
      <c r="G10" s="19" t="inlineStr">
        <is>
          <t>Low</t>
        </is>
      </c>
    </row>
    <row r="11" ht="36" customHeight="1">
      <c r="A11" s="19" t="inlineStr">
        <is>
          <t>2. Report Generating (Functional)</t>
        </is>
      </c>
      <c r="B11" s="19" t="inlineStr">
        <is>
          <t>Output: screen, PDF, spreadsheet, print</t>
        </is>
      </c>
      <c r="C11" s="6" t="inlineStr">
        <is>
          <t>COVERED</t>
        </is>
      </c>
      <c r="D11" s="19" t="inlineStr">
        <is>
          <t>Reporting Service</t>
        </is>
      </c>
      <c r="E11" s="19" t="inlineStr">
        <is>
          <t>services/reporting_service.py</t>
        </is>
      </c>
      <c r="F11" s="19" t="inlineStr">
        <is>
          <t>PDF via ReportLab; CSV/Excel export available</t>
        </is>
      </c>
      <c r="G11" s="19" t="inlineStr">
        <is>
          <t>Low</t>
        </is>
      </c>
    </row>
    <row r="12" ht="36" customHeight="1">
      <c r="A12" s="19" t="inlineStr">
        <is>
          <t>2. Report Generating (Functional)</t>
        </is>
      </c>
      <c r="B12" s="19" t="inlineStr">
        <is>
          <t>Output: email distribution</t>
        </is>
      </c>
      <c r="C12" s="12" t="inlineStr">
        <is>
          <t>PARTIAL</t>
        </is>
      </c>
      <c r="D12" s="19" t="inlineStr">
        <is>
          <t>Reminders</t>
        </is>
      </c>
      <c r="E12" s="19" t="inlineStr">
        <is>
          <t>/admin/reminders</t>
        </is>
      </c>
      <c r="F12" s="19" t="inlineStr">
        <is>
          <t>Reminder engine exists; SMTP config must be wired in .env</t>
        </is>
      </c>
      <c r="G12" s="19" t="inlineStr">
        <is>
          <t>Medium</t>
        </is>
      </c>
    </row>
    <row r="13" ht="36" customHeight="1">
      <c r="A13" s="19" t="inlineStr">
        <is>
          <t>2. Report Generating (Functional)</t>
        </is>
      </c>
      <c r="B13" s="19" t="inlineStr">
        <is>
          <t>Security — authentication &amp; authorization</t>
        </is>
      </c>
      <c r="C13" s="6" t="inlineStr">
        <is>
          <t>COVERED</t>
        </is>
      </c>
      <c r="D13" s="19" t="inlineStr">
        <is>
          <t>Access Service</t>
        </is>
      </c>
      <c r="E13" s="19" t="inlineStr">
        <is>
          <t>/admin/access-matrix</t>
        </is>
      </c>
      <c r="F13" s="19" t="inlineStr">
        <is>
          <t>3-tier RBAC (page, feature, modification)</t>
        </is>
      </c>
      <c r="G13" s="19" t="inlineStr">
        <is>
          <t>Low</t>
        </is>
      </c>
    </row>
    <row r="14" ht="36" customHeight="1">
      <c r="A14" s="19" t="inlineStr">
        <is>
          <t>2. Report Generating (Non-Functional)</t>
        </is>
      </c>
      <c r="B14" s="19" t="inlineStr">
        <is>
          <t>Performance (speed, load response)</t>
        </is>
      </c>
      <c r="C14" s="6" t="inlineStr">
        <is>
          <t>COVERED</t>
        </is>
      </c>
      <c r="D14" s="19" t="inlineStr">
        <is>
          <t>Infrastructure</t>
        </is>
      </c>
      <c r="E14" s="19" t="inlineStr">
        <is>
          <t>docker-compose.yml</t>
        </is>
      </c>
      <c r="F14" s="19" t="inlineStr">
        <is>
          <t>PG tuned (shared_buffers 256MB, max_connections 200)</t>
        </is>
      </c>
      <c r="G14" s="19" t="inlineStr">
        <is>
          <t>Low</t>
        </is>
      </c>
    </row>
    <row r="15" ht="36" customHeight="1">
      <c r="A15" s="19" t="inlineStr">
        <is>
          <t>2. Report Generating (Non-Functional)</t>
        </is>
      </c>
      <c r="B15" s="19" t="inlineStr">
        <is>
          <t>Scalability (data volume, user growth)</t>
        </is>
      </c>
      <c r="C15" s="6" t="inlineStr">
        <is>
          <t>COVERED</t>
        </is>
      </c>
      <c r="D15" s="19" t="inlineStr">
        <is>
          <t>Infrastructure</t>
        </is>
      </c>
      <c r="E15" s="19" t="inlineStr">
        <is>
          <t>docker-compose.yml</t>
        </is>
      </c>
      <c r="F15" s="19" t="inlineStr">
        <is>
          <t>Stateless web tier, pool-based DB access, volume-backed</t>
        </is>
      </c>
      <c r="G15" s="19" t="inlineStr">
        <is>
          <t>Low</t>
        </is>
      </c>
    </row>
    <row r="16" ht="36" customHeight="1">
      <c r="A16" s="19" t="inlineStr">
        <is>
          <t>2. Report Generating (Non-Functional)</t>
        </is>
      </c>
      <c r="B16" s="19" t="inlineStr">
        <is>
          <t>Reliability (error handling, integrity, audit)</t>
        </is>
      </c>
      <c r="C16" s="6" t="inlineStr">
        <is>
          <t>COVERED</t>
        </is>
      </c>
      <c r="D16" s="19" t="inlineStr">
        <is>
          <t>Audit Logs</t>
        </is>
      </c>
      <c r="E16" s="19" t="inlineStr">
        <is>
          <t>audit_logs schema</t>
        </is>
      </c>
      <c r="F16" s="19" t="inlineStr">
        <is>
          <t>Trigger-based change capture on all mutations</t>
        </is>
      </c>
      <c r="G16" s="19" t="inlineStr">
        <is>
          <t>Low</t>
        </is>
      </c>
    </row>
    <row r="17" ht="36" customHeight="1">
      <c r="A17" s="19" t="inlineStr">
        <is>
          <t>3. Attendance Monitoring</t>
        </is>
      </c>
      <c r="B17" s="19" t="inlineStr">
        <is>
          <t>Online leave application &amp; approval</t>
        </is>
      </c>
      <c r="C17" s="6" t="inlineStr">
        <is>
          <t>COVERED</t>
        </is>
      </c>
      <c r="D17" s="19" t="inlineStr">
        <is>
          <t>Leave Management</t>
        </is>
      </c>
      <c r="E17" s="19" t="inlineStr">
        <is>
          <t>/leave/requests, /me/leaves</t>
        </is>
      </c>
      <c r="F17" s="19" t="inlineStr">
        <is>
          <t>Full workflow: PENDING → APPROVED → balance debit</t>
        </is>
      </c>
      <c r="G17" s="19" t="inlineStr">
        <is>
          <t>Low</t>
        </is>
      </c>
    </row>
    <row r="18" ht="36" customHeight="1">
      <c r="A18" s="19" t="inlineStr">
        <is>
          <t>3. Attendance Monitoring</t>
        </is>
      </c>
      <c r="B18" s="19" t="inlineStr">
        <is>
          <t>Compensatory Time Off (CTO) workflow</t>
        </is>
      </c>
      <c r="C18" s="12" t="inlineStr">
        <is>
          <t>PARTIAL</t>
        </is>
      </c>
      <c r="D18" s="19" t="inlineStr">
        <is>
          <t>Leave Management</t>
        </is>
      </c>
      <c r="E18" s="19" t="inlineStr">
        <is>
          <t>/leave/types</t>
        </is>
      </c>
      <c r="F18" s="19" t="inlineStr">
        <is>
          <t>Add CTO to lv_types with accrual rules tied to OT</t>
        </is>
      </c>
      <c r="G18" s="19" t="inlineStr">
        <is>
          <t>Medium</t>
        </is>
      </c>
    </row>
    <row r="19" ht="36" customHeight="1">
      <c r="A19" s="19" t="inlineStr">
        <is>
          <t>3. Attendance Monitoring</t>
        </is>
      </c>
      <c r="B19" s="19" t="inlineStr">
        <is>
          <t>Travel Order — online application &amp; pre-approval</t>
        </is>
      </c>
      <c r="C19" s="13" t="inlineStr">
        <is>
          <t>GAP</t>
        </is>
      </c>
      <c r="D19" s="19" t="inlineStr">
        <is>
          <t>New module</t>
        </is>
      </c>
      <c r="E19" s="19" t="inlineStr">
        <is>
          <t>/travel-orders (to build)</t>
        </is>
      </c>
      <c r="F19" s="19" t="inlineStr">
        <is>
          <t>Needs new blueprint: request, routing, DTR integration</t>
        </is>
      </c>
      <c r="G19" s="19" t="inlineStr">
        <is>
          <t>High</t>
        </is>
      </c>
    </row>
    <row r="20" ht="36" customHeight="1">
      <c r="A20" s="19" t="inlineStr">
        <is>
          <t>3. Attendance Monitoring</t>
        </is>
      </c>
      <c r="B20" s="19" t="inlineStr">
        <is>
          <t>Request for Training / Office Order</t>
        </is>
      </c>
      <c r="C20" s="12" t="inlineStr">
        <is>
          <t>PARTIAL</t>
        </is>
      </c>
      <c r="D20" s="19" t="inlineStr">
        <is>
          <t>L&amp;D + Workflow</t>
        </is>
      </c>
      <c r="E20" s="19" t="inlineStr">
        <is>
          <t>/learning/enrollments</t>
        </is>
      </c>
      <c r="F20" s="19" t="inlineStr">
        <is>
          <t>Enrollments exist; office-order form template needed</t>
        </is>
      </c>
      <c r="G20" s="19" t="inlineStr">
        <is>
          <t>Medium</t>
        </is>
      </c>
    </row>
    <row r="21" ht="36" customHeight="1">
      <c r="A21" s="19" t="inlineStr">
        <is>
          <t>3. Attendance Monitoring</t>
        </is>
      </c>
      <c r="B21" s="19" t="inlineStr">
        <is>
          <t>Locator Slip with pre-approval</t>
        </is>
      </c>
      <c r="C21" s="13" t="inlineStr">
        <is>
          <t>GAP</t>
        </is>
      </c>
      <c r="D21" s="19" t="inlineStr">
        <is>
          <t>New module</t>
        </is>
      </c>
      <c r="E21" s="19" t="inlineStr">
        <is>
          <t>/locator-slips (to build)</t>
        </is>
      </c>
      <c r="F21" s="19" t="inlineStr">
        <is>
          <t>Needs new blueprint tied to DTR</t>
        </is>
      </c>
      <c r="G21" s="19" t="inlineStr">
        <is>
          <t>High</t>
        </is>
      </c>
    </row>
    <row r="22" ht="36" customHeight="1">
      <c r="A22" s="19" t="inlineStr">
        <is>
          <t>3. Attendance Monitoring</t>
        </is>
      </c>
      <c r="B22" s="19" t="inlineStr">
        <is>
          <t>Pre-approved items auto-reflect on DTR + invalidate overlaps</t>
        </is>
      </c>
      <c r="C22" s="6" t="inlineStr">
        <is>
          <t>COVERED</t>
        </is>
      </c>
      <c r="D22" s="19" t="inlineStr">
        <is>
          <t>Attendance</t>
        </is>
      </c>
      <c r="E22" s="19" t="inlineStr">
        <is>
          <t>/attendance/daily</t>
        </is>
      </c>
      <c r="F22" s="19" t="inlineStr">
        <is>
          <t>Leave requests already block DTR-day conflicts</t>
        </is>
      </c>
      <c r="G22" s="19" t="inlineStr">
        <is>
          <t>Low</t>
        </is>
      </c>
    </row>
    <row r="23" ht="36" customHeight="1">
      <c r="A23" s="19" t="inlineStr">
        <is>
          <t>3. Attendance Monitoring</t>
        </is>
      </c>
      <c r="B23" s="19" t="inlineStr">
        <is>
          <t>Mobile / desktop time-tracking with OT + remote check-in</t>
        </is>
      </c>
      <c r="C23" s="12" t="inlineStr">
        <is>
          <t>PARTIAL</t>
        </is>
      </c>
      <c r="D23" s="19" t="inlineStr">
        <is>
          <t>Attendance</t>
        </is>
      </c>
      <c r="E23" s="19" t="inlineStr">
        <is>
          <t>/me/attendance</t>
        </is>
      </c>
      <c r="F23" s="19" t="inlineStr">
        <is>
          <t>Web time-in/out exists; native mobile + remote check-in need build</t>
        </is>
      </c>
      <c r="G23" s="19" t="inlineStr">
        <is>
          <t>High</t>
        </is>
      </c>
    </row>
    <row r="24" ht="36" customHeight="1">
      <c r="A24" s="19" t="inlineStr">
        <is>
          <t>3. Attendance Monitoring</t>
        </is>
      </c>
      <c r="B24" s="19" t="inlineStr">
        <is>
          <t>Online DTR check, acknowledge, approve</t>
        </is>
      </c>
      <c r="C24" s="6" t="inlineStr">
        <is>
          <t>COVERED</t>
        </is>
      </c>
      <c r="D24" s="19" t="inlineStr">
        <is>
          <t>Attendance</t>
        </is>
      </c>
      <c r="E24" s="19" t="inlineStr">
        <is>
          <t>/attendance/daily, /me/attendance</t>
        </is>
      </c>
      <c r="F24" s="19" t="inlineStr">
        <is>
          <t>Approval workflow wired to supervisor</t>
        </is>
      </c>
      <c r="G24" s="19" t="inlineStr">
        <is>
          <t>Low</t>
        </is>
      </c>
    </row>
    <row r="25" ht="36" customHeight="1">
      <c r="A25" s="19" t="inlineStr">
        <is>
          <t>3. Attendance Monitoring</t>
        </is>
      </c>
      <c r="B25" s="19" t="inlineStr">
        <is>
          <t>Civil Service Form No. 6 (revised 2020) — strict implementation</t>
        </is>
      </c>
      <c r="C25" s="13" t="inlineStr">
        <is>
          <t>GAP</t>
        </is>
      </c>
      <c r="D25" s="19" t="inlineStr">
        <is>
          <t>Leave Management</t>
        </is>
      </c>
      <c r="E25" s="19" t="inlineStr">
        <is>
          <t>/leave/requests/new (CS6 mode)</t>
        </is>
      </c>
      <c r="F25" s="19" t="inlineStr">
        <is>
          <t>CS Form No. 6 template + exact fields + strict routing</t>
        </is>
      </c>
      <c r="G25" s="19" t="inlineStr">
        <is>
          <t>High</t>
        </is>
      </c>
    </row>
    <row r="26" ht="36" customHeight="1">
      <c r="A26" s="19" t="inlineStr">
        <is>
          <t>3. Attendance Monitoring</t>
        </is>
      </c>
      <c r="B26" s="19" t="inlineStr">
        <is>
          <t>Travel Order + Locator Slip pre-approval &amp; monitoring</t>
        </is>
      </c>
      <c r="C26" s="13" t="inlineStr">
        <is>
          <t>GAP</t>
        </is>
      </c>
      <c r="D26" s="19" t="inlineStr">
        <is>
          <t>New module</t>
        </is>
      </c>
      <c r="E26" s="19" t="inlineStr">
        <is>
          <t>/travel-orders, /locator-slips</t>
        </is>
      </c>
      <c r="F26" s="19" t="inlineStr">
        <is>
          <t>Workflow engine exists; forms not yet modelled</t>
        </is>
      </c>
      <c r="G26" s="19" t="inlineStr">
        <is>
          <t>High</t>
        </is>
      </c>
    </row>
    <row r="27" ht="36" customHeight="1">
      <c r="A27" s="19" t="inlineStr">
        <is>
          <t>3. Attendance Monitoring</t>
        </is>
      </c>
      <c r="B27" s="19" t="inlineStr">
        <is>
          <t>Monitor habitual tardiness &amp; AWOL</t>
        </is>
      </c>
      <c r="C27" s="6" t="inlineStr">
        <is>
          <t>COVERED</t>
        </is>
      </c>
      <c r="D27" s="19" t="inlineStr">
        <is>
          <t>Attendance</t>
        </is>
      </c>
      <c r="E27" s="19" t="inlineStr">
        <is>
          <t>/attendance/alerts</t>
        </is>
      </c>
      <c r="F27" s="19" t="inlineStr">
        <is>
          <t>att_alerts generates alerts on thresholds</t>
        </is>
      </c>
      <c r="G27" s="19" t="inlineStr">
        <is>
          <t>Low</t>
        </is>
      </c>
    </row>
    <row r="28" ht="36" customHeight="1">
      <c r="A28" s="19" t="inlineStr">
        <is>
          <t>3. Attendance Monitoring</t>
        </is>
      </c>
      <c r="B28" s="19" t="inlineStr">
        <is>
          <t>Auto-alert when VL &lt; 5 days or tardiness reaches 7x</t>
        </is>
      </c>
      <c r="C28" s="12" t="inlineStr">
        <is>
          <t>PARTIAL</t>
        </is>
      </c>
      <c r="D28" s="19" t="inlineStr">
        <is>
          <t>Reminders</t>
        </is>
      </c>
      <c r="E28" s="19" t="inlineStr">
        <is>
          <t>/admin/reminders</t>
        </is>
      </c>
      <c r="F28" s="19" t="inlineStr">
        <is>
          <t>Threshold rules configurable; specific LGU thresholds to be seeded</t>
        </is>
      </c>
      <c r="G28" s="19" t="inlineStr">
        <is>
          <t>Medium</t>
        </is>
      </c>
    </row>
    <row r="29" ht="36" customHeight="1">
      <c r="A29" s="19" t="inlineStr">
        <is>
          <t>3. Attendance Monitoring</t>
        </is>
      </c>
      <c r="B29" s="19" t="inlineStr">
        <is>
          <t>Face-recognition attendance / automated record</t>
        </is>
      </c>
      <c r="C29" s="13" t="inlineStr">
        <is>
          <t>GAP</t>
        </is>
      </c>
      <c r="D29" s="19" t="inlineStr">
        <is>
          <t>Attendance</t>
        </is>
      </c>
      <c r="E29" s="19" t="inlineStr">
        <is>
          <t>N/A</t>
        </is>
      </c>
      <c r="F29" s="19" t="inlineStr">
        <is>
          <t>Hardware + facial API integration (e.g., AWS Rekognition)</t>
        </is>
      </c>
      <c r="G29" s="19" t="inlineStr">
        <is>
          <t>High</t>
        </is>
      </c>
    </row>
    <row r="30" ht="36" customHeight="1">
      <c r="A30" s="19" t="inlineStr">
        <is>
          <t>3. Attendance Monitoring</t>
        </is>
      </c>
      <c r="B30" s="19" t="inlineStr">
        <is>
          <t>Shift schedule mgmt (security, rescue, medical, on-call)</t>
        </is>
      </c>
      <c r="C30" s="6" t="inlineStr">
        <is>
          <t>COVERED</t>
        </is>
      </c>
      <c r="D30" s="19" t="inlineStr">
        <is>
          <t>Attendance</t>
        </is>
      </c>
      <c r="E30" s="19" t="inlineStr">
        <is>
          <t>/attendance/shifts, /attendance/shift-assignments</t>
        </is>
      </c>
      <c r="F30" s="19" t="inlineStr">
        <is>
          <t>Shift types + per-employee assignments</t>
        </is>
      </c>
      <c r="G30" s="19" t="inlineStr">
        <is>
          <t>Low</t>
        </is>
      </c>
    </row>
    <row r="31" ht="36" customHeight="1">
      <c r="A31" s="19" t="inlineStr">
        <is>
          <t>3. Attendance Monitoring</t>
        </is>
      </c>
      <c r="B31" s="19" t="inlineStr">
        <is>
          <t>Flag raising / lowering mobile check-in with photo</t>
        </is>
      </c>
      <c r="C31" s="13" t="inlineStr">
        <is>
          <t>GAP</t>
        </is>
      </c>
      <c r="D31" s="19" t="inlineStr">
        <is>
          <t>Attendance + Mobile</t>
        </is>
      </c>
      <c r="E31" s="19" t="inlineStr">
        <is>
          <t>mobile app (to build)</t>
        </is>
      </c>
      <c r="F31" s="19" t="inlineStr">
        <is>
          <t>Requires mobile client + photo upload + geotag</t>
        </is>
      </c>
      <c r="G31" s="19" t="inlineStr">
        <is>
          <t>High</t>
        </is>
      </c>
    </row>
    <row r="32" ht="36" customHeight="1">
      <c r="A32" s="19" t="inlineStr">
        <is>
          <t>4. Recruitment</t>
        </is>
      </c>
      <c r="B32" s="19" t="inlineStr">
        <is>
          <t>Auto-notify qualified next-in-rank of posted vacancy</t>
        </is>
      </c>
      <c r="C32" s="12" t="inlineStr">
        <is>
          <t>PARTIAL</t>
        </is>
      </c>
      <c r="D32" s="19" t="inlineStr">
        <is>
          <t>Recruitment + Reminders</t>
        </is>
      </c>
      <c r="E32" s="19" t="inlineStr">
        <is>
          <t>/recruitment/requisitions</t>
        </is>
      </c>
      <c r="F32" s="19" t="inlineStr">
        <is>
          <t>Requisition posting exists; next-in-rank ranking rule needs logic</t>
        </is>
      </c>
      <c r="G32" s="19" t="inlineStr">
        <is>
          <t>Medium</t>
        </is>
      </c>
    </row>
    <row r="33" ht="36" customHeight="1">
      <c r="A33" s="19" t="inlineStr">
        <is>
          <t>4. Recruitment</t>
        </is>
      </c>
      <c r="B33" s="19" t="inlineStr">
        <is>
          <t>Pre-assess online applications vs CSC qualification standards</t>
        </is>
      </c>
      <c r="C33" s="6" t="inlineStr">
        <is>
          <t>COVERED</t>
        </is>
      </c>
      <c r="D33" s="19" t="inlineStr">
        <is>
          <t>Recruitment</t>
        </is>
      </c>
      <c r="E33" s="19" t="inlineStr">
        <is>
          <t>/recruitment/candidates</t>
        </is>
      </c>
      <c r="F33" s="19" t="inlineStr">
        <is>
          <t>rsp.qualification_standards + rsp.csc_eligibilities</t>
        </is>
      </c>
      <c r="G33" s="19" t="inlineStr">
        <is>
          <t>Low</t>
        </is>
      </c>
    </row>
    <row r="34" ht="36" customHeight="1">
      <c r="A34" s="19" t="inlineStr">
        <is>
          <t>4. Recruitment</t>
        </is>
      </c>
      <c r="B34" s="19" t="inlineStr">
        <is>
          <t>Retain applications for 5 years</t>
        </is>
      </c>
      <c r="C34" s="12" t="inlineStr">
        <is>
          <t>PARTIAL</t>
        </is>
      </c>
      <c r="D34" s="19" t="inlineStr">
        <is>
          <t>DMS + Retention</t>
        </is>
      </c>
      <c r="E34" s="19" t="inlineStr">
        <is>
          <t>/admin/reference-data/retention_policies</t>
        </is>
      </c>
      <c r="F34" s="19" t="inlineStr">
        <is>
          <t>Set retention policy to 5 years for recruitment docs</t>
        </is>
      </c>
      <c r="G34" s="19" t="inlineStr">
        <is>
          <t>Medium</t>
        </is>
      </c>
    </row>
    <row r="35" ht="36" customHeight="1">
      <c r="A35" s="19" t="inlineStr">
        <is>
          <t>4. Recruitment</t>
        </is>
      </c>
      <c r="B35" s="19" t="inlineStr">
        <is>
          <t>Source candidates — internal/external + 3 conspicuous places + job portals</t>
        </is>
      </c>
      <c r="C35" s="12" t="inlineStr">
        <is>
          <t>PARTIAL</t>
        </is>
      </c>
      <c r="D35" s="19" t="inlineStr">
        <is>
          <t>Recruitment</t>
        </is>
      </c>
      <c r="E35" s="19" t="inlineStr">
        <is>
          <t>/recruitment/requisitions</t>
        </is>
      </c>
      <c r="F35" s="19" t="inlineStr">
        <is>
          <t>Internal + external tracked; job-portal API integration additional</t>
        </is>
      </c>
      <c r="G35" s="19" t="inlineStr">
        <is>
          <t>Medium</t>
        </is>
      </c>
    </row>
    <row r="36" ht="36" customHeight="1">
      <c r="A36" s="19" t="inlineStr">
        <is>
          <t>4. Recruitment</t>
        </is>
      </c>
      <c r="B36" s="19" t="inlineStr">
        <is>
          <t>Online approval — JO, LSB, Barangay Health Worker/Nutritionist Scholar contracts</t>
        </is>
      </c>
      <c r="C36" s="13" t="inlineStr">
        <is>
          <t>GAP</t>
        </is>
      </c>
      <c r="D36" s="19" t="inlineStr">
        <is>
          <t>Recruitment</t>
        </is>
      </c>
      <c r="E36" s="19" t="inlineStr">
        <is>
          <t>/recruitment/contracts (to build)</t>
        </is>
      </c>
      <c r="F36" s="19" t="inlineStr">
        <is>
          <t>LGU-specific contract types and approval chains required</t>
        </is>
      </c>
      <c r="G36" s="19" t="inlineStr">
        <is>
          <t>High</t>
        </is>
      </c>
    </row>
    <row r="37" ht="36" customHeight="1">
      <c r="A37" s="19" t="inlineStr">
        <is>
          <t>4.1 Onboarding / Offboarding</t>
        </is>
      </c>
      <c r="B37" s="19" t="inlineStr">
        <is>
          <t>Digital onboarding — forms, checklists, policy ack, equipment, training</t>
        </is>
      </c>
      <c r="C37" s="6" t="inlineStr">
        <is>
          <t>COVERED</t>
        </is>
      </c>
      <c r="D37" s="19" t="inlineStr">
        <is>
          <t>Onboarding</t>
        </is>
      </c>
      <c r="E37" s="19" t="inlineStr">
        <is>
          <t>/me/onboarding</t>
        </is>
      </c>
      <c r="F37" s="19" t="inlineStr">
        <is>
          <t>Checklist with stages (ACTIVATED, etc.)</t>
        </is>
      </c>
      <c r="G37" s="19" t="inlineStr">
        <is>
          <t>Low</t>
        </is>
      </c>
    </row>
    <row r="38" ht="36" customHeight="1">
      <c r="A38" s="19" t="inlineStr">
        <is>
          <t>4.1 Onboarding / Offboarding</t>
        </is>
      </c>
      <c r="B38" s="19" t="inlineStr">
        <is>
          <t>Electronic signature on documents</t>
        </is>
      </c>
      <c r="C38" s="13" t="inlineStr">
        <is>
          <t>GAP</t>
        </is>
      </c>
      <c r="D38" s="19" t="inlineStr">
        <is>
          <t>DMS</t>
        </is>
      </c>
      <c r="E38" s="19" t="inlineStr">
        <is>
          <t>/dms (needs e-sig module)</t>
        </is>
      </c>
      <c r="F38" s="19" t="inlineStr">
        <is>
          <t>Integrate DocuSign / local PKI provider</t>
        </is>
      </c>
      <c r="G38" s="19" t="inlineStr">
        <is>
          <t>High</t>
        </is>
      </c>
    </row>
    <row r="39" ht="36" customHeight="1">
      <c r="A39" s="19" t="inlineStr">
        <is>
          <t>4.1 Onboarding / Offboarding</t>
        </is>
      </c>
      <c r="B39" s="19" t="inlineStr">
        <is>
          <t>Offboarding — exit interview, CS Form No. 7, transition, asset return, access removal, archive</t>
        </is>
      </c>
      <c r="C39" s="12" t="inlineStr">
        <is>
          <t>PARTIAL</t>
        </is>
      </c>
      <c r="D39" s="19" t="inlineStr">
        <is>
          <t>ESS + DMS + Admin</t>
        </is>
      </c>
      <c r="E39" s="19" t="inlineStr">
        <is>
          <t>/me/offboarding, /admin/users</t>
        </is>
      </c>
      <c r="F39" s="19" t="inlineStr">
        <is>
          <t>Stages exist; CS Form No.7 template + auto-deactivate on last day</t>
        </is>
      </c>
      <c r="G39" s="19" t="inlineStr">
        <is>
          <t>High</t>
        </is>
      </c>
    </row>
    <row r="40" ht="36" customHeight="1">
      <c r="A40" s="19" t="inlineStr">
        <is>
          <t>5. Performance Management</t>
        </is>
      </c>
      <c r="B40" s="19" t="inlineStr">
        <is>
          <t>Goal-setting &amp; progress tracking for employees, dept heads, PM team</t>
        </is>
      </c>
      <c r="C40" s="6" t="inlineStr">
        <is>
          <t>COVERED</t>
        </is>
      </c>
      <c r="D40" s="19" t="inlineStr">
        <is>
          <t>Performance Management</t>
        </is>
      </c>
      <c r="E40" s="19" t="inlineStr">
        <is>
          <t>/performance/goals</t>
        </is>
      </c>
      <c r="F40" s="19" t="inlineStr">
        <is>
          <t>KPIs + competencies per cycle</t>
        </is>
      </c>
      <c r="G40" s="19" t="inlineStr">
        <is>
          <t>Low</t>
        </is>
      </c>
    </row>
    <row r="41" ht="36" customHeight="1">
      <c r="A41" s="19" t="inlineStr">
        <is>
          <t>5. Performance Management</t>
        </is>
      </c>
      <c r="B41" s="19" t="inlineStr">
        <is>
          <t>IPCR &amp; OPCR periodic review</t>
        </is>
      </c>
      <c r="C41" s="12" t="inlineStr">
        <is>
          <t>PARTIAL</t>
        </is>
      </c>
      <c r="D41" s="19" t="inlineStr">
        <is>
          <t>Performance Management</t>
        </is>
      </c>
      <c r="E41" s="19" t="inlineStr">
        <is>
          <t>/performance/reviews</t>
        </is>
      </c>
      <c r="F41" s="19" t="inlineStr">
        <is>
          <t>Review engine exists; IPCR/OPCR CSC templates to be added</t>
        </is>
      </c>
      <c r="G41" s="19" t="inlineStr">
        <is>
          <t>High</t>
        </is>
      </c>
    </row>
    <row r="42" ht="36" customHeight="1">
      <c r="A42" s="19" t="inlineStr">
        <is>
          <t>5. Performance Management</t>
        </is>
      </c>
      <c r="B42" s="19" t="inlineStr">
        <is>
          <t>Succession planning — critical roles + internal candidates</t>
        </is>
      </c>
      <c r="C42" s="12" t="inlineStr">
        <is>
          <t>PARTIAL</t>
        </is>
      </c>
      <c r="D42" s="19" t="inlineStr">
        <is>
          <t>Performance + Workforce Planning</t>
        </is>
      </c>
      <c r="E42" s="19" t="inlineStr">
        <is>
          <t>/workforce-planning, /performance</t>
        </is>
      </c>
      <c r="F42" s="19" t="inlineStr">
        <is>
          <t>Scenarios exist; succession slate UI needs dedicated page</t>
        </is>
      </c>
      <c r="G42" s="19" t="inlineStr">
        <is>
          <t>Medium</t>
        </is>
      </c>
    </row>
    <row r="43" ht="36" customHeight="1">
      <c r="A43" s="19" t="inlineStr">
        <is>
          <t>6. Learning and Development</t>
        </is>
      </c>
      <c r="B43" s="19" t="inlineStr">
        <is>
          <t>Post available trainings/seminars; track needs</t>
        </is>
      </c>
      <c r="C43" s="6" t="inlineStr">
        <is>
          <t>COVERED</t>
        </is>
      </c>
      <c r="D43" s="19" t="inlineStr">
        <is>
          <t>L&amp;D</t>
        </is>
      </c>
      <c r="E43" s="19" t="inlineStr">
        <is>
          <t>/learning/catalog, /learning/enrollments</t>
        </is>
      </c>
      <c r="F43" s="19" t="inlineStr">
        <is>
          <t>Catalog with prerequisites, needs-based flagging</t>
        </is>
      </c>
      <c r="G43" s="19" t="inlineStr">
        <is>
          <t>Low</t>
        </is>
      </c>
    </row>
    <row r="44" ht="36" customHeight="1">
      <c r="A44" s="19" t="inlineStr">
        <is>
          <t>6. Learning and Development</t>
        </is>
      </c>
      <c r="B44" s="19" t="inlineStr">
        <is>
          <t>Training attendance via mobile with geotag + AM/PM + date</t>
        </is>
      </c>
      <c r="C44" s="13" t="inlineStr">
        <is>
          <t>GAP</t>
        </is>
      </c>
      <c r="D44" s="19" t="inlineStr">
        <is>
          <t>L&amp;D + Mobile</t>
        </is>
      </c>
      <c r="E44" s="19" t="inlineStr">
        <is>
          <t>/learning/attendance (mobile)</t>
        </is>
      </c>
      <c r="F44" s="19" t="inlineStr">
        <is>
          <t>Requires mobile client with GPS + timestamped photo</t>
        </is>
      </c>
      <c r="G44" s="19" t="inlineStr">
        <is>
          <t>High</t>
        </is>
      </c>
    </row>
    <row r="45" ht="36" customHeight="1">
      <c r="A45" s="19" t="inlineStr">
        <is>
          <t>6. Learning and Development</t>
        </is>
      </c>
      <c r="B45" s="19" t="inlineStr">
        <is>
          <t>Online Narrative Report Form before acknowledgment</t>
        </is>
      </c>
      <c r="C45" s="13" t="inlineStr">
        <is>
          <t>GAP</t>
        </is>
      </c>
      <c r="D45" s="19" t="inlineStr">
        <is>
          <t>L&amp;D</t>
        </is>
      </c>
      <c r="E45" s="19" t="inlineStr">
        <is>
          <t>/learning/narrative-report (to build)</t>
        </is>
      </c>
      <c r="F45" s="19" t="inlineStr">
        <is>
          <t>New form module tied to enrollment completion</t>
        </is>
      </c>
      <c r="G45" s="19" t="inlineStr">
        <is>
          <t>Medium</t>
        </is>
      </c>
    </row>
    <row r="46" ht="36" customHeight="1">
      <c r="A46" s="19" t="inlineStr">
        <is>
          <t>7.1 Loyalty Service Award</t>
        </is>
      </c>
      <c r="B46" s="19" t="inlineStr">
        <is>
          <t>Auto-identify employees reaching 10 years continuous service</t>
        </is>
      </c>
      <c r="C46" s="12" t="inlineStr">
        <is>
          <t>PARTIAL</t>
        </is>
      </c>
      <c r="D46" s="19" t="inlineStr">
        <is>
          <t>R&amp;R</t>
        </is>
      </c>
      <c r="E46" s="19" t="inlineStr">
        <is>
          <t>/rewards/awards</t>
        </is>
      </c>
      <c r="F46" s="19" t="inlineStr">
        <is>
          <t>Date_hired tracked; milestone-detection job needs seeding</t>
        </is>
      </c>
      <c r="G46" s="19" t="inlineStr">
        <is>
          <t>Medium</t>
        </is>
      </c>
    </row>
    <row r="47" ht="36" customHeight="1">
      <c r="A47" s="19" t="inlineStr">
        <is>
          <t>7.1 Loyalty Service Award</t>
        </is>
      </c>
      <c r="B47" s="19" t="inlineStr">
        <is>
          <t>Every 5 years thereafter (15, 20, 25, 30, …)</t>
        </is>
      </c>
      <c r="C47" s="12" t="inlineStr">
        <is>
          <t>PARTIAL</t>
        </is>
      </c>
      <c r="D47" s="19" t="inlineStr">
        <is>
          <t>R&amp;R</t>
        </is>
      </c>
      <c r="E47" s="19" t="inlineStr">
        <is>
          <t>/rewards/awards</t>
        </is>
      </c>
      <c r="F47" s="19" t="inlineStr">
        <is>
          <t>Add recurring-milestone logic in rr_service</t>
        </is>
      </c>
      <c r="G47" s="19" t="inlineStr">
        <is>
          <t>Medium</t>
        </is>
      </c>
    </row>
    <row r="48" ht="36" customHeight="1">
      <c r="A48" s="19" t="inlineStr">
        <is>
          <t>7.1 Loyalty Service Award</t>
        </is>
      </c>
      <c r="B48" s="19" t="inlineStr">
        <is>
          <t>Auto Notice / Memo generation for loyalty award</t>
        </is>
      </c>
      <c r="C48" s="13" t="inlineStr">
        <is>
          <t>GAP</t>
        </is>
      </c>
      <c r="D48" s="19" t="inlineStr">
        <is>
          <t>R&amp;R + DMS</t>
        </is>
      </c>
      <c r="E48" s="19" t="inlineStr">
        <is>
          <t>/dms/certificate-types</t>
        </is>
      </c>
      <c r="F48" s="19" t="inlineStr">
        <is>
          <t>Add certificate template "Loyalty Award Memo" with auto-populate</t>
        </is>
      </c>
      <c r="G48" s="19" t="inlineStr">
        <is>
          <t>Medium</t>
        </is>
      </c>
    </row>
    <row r="49" ht="36" customHeight="1">
      <c r="A49" s="19" t="inlineStr">
        <is>
          <t>7.2 Step Increment</t>
        </is>
      </c>
      <c r="B49" s="19" t="inlineStr">
        <is>
          <t>Auto-track Step Increment eligibility every 3 years</t>
        </is>
      </c>
      <c r="C49" s="13" t="inlineStr">
        <is>
          <t>GAP</t>
        </is>
      </c>
      <c r="D49" s="19" t="inlineStr">
        <is>
          <t>Core HR + Payroll</t>
        </is>
      </c>
      <c r="E49" s="19" t="inlineStr">
        <is>
          <t>/employees (step-increment tab)</t>
        </is>
      </c>
      <c r="F49" s="19" t="inlineStr">
        <is>
          <t>Add step_increment_history table + scheduled job</t>
        </is>
      </c>
      <c r="G49" s="19" t="inlineStr">
        <is>
          <t>High</t>
        </is>
      </c>
    </row>
    <row r="50" ht="36" customHeight="1">
      <c r="A50" s="19" t="inlineStr">
        <is>
          <t>7.2 Step Increment</t>
        </is>
      </c>
      <c r="B50" s="19" t="inlineStr">
        <is>
          <t>Based on Date of Original Appointment</t>
        </is>
      </c>
      <c r="C50" s="12" t="inlineStr">
        <is>
          <t>PARTIAL</t>
        </is>
      </c>
      <c r="D50" s="19" t="inlineStr">
        <is>
          <t>Core HR</t>
        </is>
      </c>
      <c r="E50" s="19" t="inlineStr">
        <is>
          <t>core.employees.date_hired</t>
        </is>
      </c>
      <c r="F50" s="19" t="inlineStr">
        <is>
          <t>Add date_of_original_appointment field (separate from date_hired)</t>
        </is>
      </c>
      <c r="G50" s="19" t="inlineStr">
        <is>
          <t>High</t>
        </is>
      </c>
    </row>
    <row r="51" ht="36" customHeight="1">
      <c r="A51" s="19" t="inlineStr">
        <is>
          <t>7.2 Step Increment</t>
        </is>
      </c>
      <c r="B51" s="19" t="inlineStr">
        <is>
          <t>Generate Step Increment Due Report</t>
        </is>
      </c>
      <c r="C51" s="13" t="inlineStr">
        <is>
          <t>GAP</t>
        </is>
      </c>
      <c r="D51" s="19" t="inlineStr">
        <is>
          <t>Analytics</t>
        </is>
      </c>
      <c r="E51" s="19" t="inlineStr">
        <is>
          <t>/reports (new report)</t>
        </is>
      </c>
      <c r="F51" s="19" t="inlineStr">
        <is>
          <t>Build report tied to new step_increment_history</t>
        </is>
      </c>
      <c r="G51" s="19" t="inlineStr">
        <is>
          <t>Medium</t>
        </is>
      </c>
    </row>
    <row r="52" ht="36" customHeight="1">
      <c r="A52" s="19" t="inlineStr">
        <is>
          <t>7.2 Step Increment</t>
        </is>
      </c>
      <c r="B52" s="19" t="inlineStr">
        <is>
          <t>Generate Step Increment Notice / Memo</t>
        </is>
      </c>
      <c r="C52" s="13" t="inlineStr">
        <is>
          <t>GAP</t>
        </is>
      </c>
      <c r="D52" s="19" t="inlineStr">
        <is>
          <t>DMS</t>
        </is>
      </c>
      <c r="E52" s="19" t="inlineStr">
        <is>
          <t>/dms/certificate-types</t>
        </is>
      </c>
      <c r="F52" s="19" t="inlineStr">
        <is>
          <t>Certificate template "Step Increment Notice"</t>
        </is>
      </c>
      <c r="G52" s="19" t="inlineStr">
        <is>
          <t>Medium</t>
        </is>
      </c>
    </row>
    <row r="53" ht="36" customHeight="1">
      <c r="A53" s="19" t="inlineStr">
        <is>
          <t>7.3 Retirement Monitoring</t>
        </is>
      </c>
      <c r="B53" s="19" t="inlineStr">
        <is>
          <t>Auto-identify approaching retirement with gender breakdown</t>
        </is>
      </c>
      <c r="C53" s="12" t="inlineStr">
        <is>
          <t>PARTIAL</t>
        </is>
      </c>
      <c r="D53" s="19" t="inlineStr">
        <is>
          <t>Core HR + Analytics</t>
        </is>
      </c>
      <c r="E53" s="19" t="inlineStr">
        <is>
          <t>/reports/demographics</t>
        </is>
      </c>
      <c r="F53" s="19" t="inlineStr">
        <is>
          <t>date_of_birth exists; retirement-age config + gender split report</t>
        </is>
      </c>
      <c r="G53" s="19" t="inlineStr">
        <is>
          <t>High</t>
        </is>
      </c>
    </row>
    <row r="54" ht="36" customHeight="1">
      <c r="A54" s="19" t="inlineStr">
        <is>
          <t>7.3 Retirement Monitoring</t>
        </is>
      </c>
      <c r="B54" s="19" t="inlineStr">
        <is>
          <t>Early Retirement Age 60 / Mandatory 65</t>
        </is>
      </c>
      <c r="C54" s="13" t="inlineStr">
        <is>
          <t>GAP</t>
        </is>
      </c>
      <c r="D54" s="19" t="inlineStr">
        <is>
          <t>Core HR</t>
        </is>
      </c>
      <c r="E54" s="19" t="inlineStr">
        <is>
          <t>/admin/reference-data/retirement_rules</t>
        </is>
      </c>
      <c r="F54" s="19" t="inlineStr">
        <is>
          <t>Add retirement_rules reference table</t>
        </is>
      </c>
      <c r="G54" s="19" t="inlineStr">
        <is>
          <t>High</t>
        </is>
      </c>
    </row>
    <row r="55" ht="36" customHeight="1">
      <c r="A55" s="19" t="inlineStr">
        <is>
          <t>7.3 Retirement Monitoring</t>
        </is>
      </c>
      <c r="B55" s="19" t="inlineStr">
        <is>
          <t>List of nearing retirement (6 months / 1 year before)</t>
        </is>
      </c>
      <c r="C55" s="13" t="inlineStr">
        <is>
          <t>GAP</t>
        </is>
      </c>
      <c r="D55" s="19" t="inlineStr">
        <is>
          <t>Analytics</t>
        </is>
      </c>
      <c r="E55" s="19" t="inlineStr">
        <is>
          <t>/reports/retirement-due</t>
        </is>
      </c>
      <c r="F55" s="19" t="inlineStr">
        <is>
          <t>New report based on age + retirement rules</t>
        </is>
      </c>
      <c r="G55" s="19" t="inlineStr">
        <is>
          <t>High</t>
        </is>
      </c>
    </row>
    <row r="56" ht="36" customHeight="1">
      <c r="A56" s="19" t="inlineStr">
        <is>
          <t>7.3 Retirement Monitoring</t>
        </is>
      </c>
      <c r="B56" s="19" t="inlineStr">
        <is>
          <t>Retirement Notice / Memo for HR, Employee, Accounting/Budget/Payroll</t>
        </is>
      </c>
      <c r="C56" s="13" t="inlineStr">
        <is>
          <t>GAP</t>
        </is>
      </c>
      <c r="D56" s="19" t="inlineStr">
        <is>
          <t>DMS + Workflow</t>
        </is>
      </c>
      <c r="E56" s="19" t="inlineStr">
        <is>
          <t>/dms/certificate-types + /workflow</t>
        </is>
      </c>
      <c r="F56" s="19" t="inlineStr">
        <is>
          <t>Multi-recipient certificate + routing</t>
        </is>
      </c>
      <c r="G56" s="19" t="inlineStr">
        <is>
          <t>High</t>
        </is>
      </c>
    </row>
    <row r="57" ht="36" customHeight="1">
      <c r="A57" s="19" t="inlineStr">
        <is>
          <t>7.3 Retirement Monitoring</t>
        </is>
      </c>
      <c r="B57" s="19" t="inlineStr">
        <is>
          <t>Male/Female breakdown for Age 60+ and 65+</t>
        </is>
      </c>
      <c r="C57" s="6" t="inlineStr">
        <is>
          <t>COVERED</t>
        </is>
      </c>
      <c r="D57" s="19" t="inlineStr">
        <is>
          <t>Analytics</t>
        </is>
      </c>
      <c r="E57" s="19" t="inlineStr">
        <is>
          <t>/reports/demographics</t>
        </is>
      </c>
      <c r="F57" s="19" t="inlineStr">
        <is>
          <t>Demographics report has gender; extend filter for retirement eligibility</t>
        </is>
      </c>
      <c r="G57" s="19" t="inlineStr">
        <is>
          <t>Low</t>
        </is>
      </c>
    </row>
    <row r="58" ht="36" customHeight="1">
      <c r="A58" s="19" t="inlineStr">
        <is>
          <t>8. Payroll System</t>
        </is>
      </c>
      <c r="B58" s="19" t="inlineStr">
        <is>
          <t>Payroll automation — salaries, deductions by role/hours</t>
        </is>
      </c>
      <c r="C58" s="6" t="inlineStr">
        <is>
          <t>COVERED</t>
        </is>
      </c>
      <c r="D58" s="19" t="inlineStr">
        <is>
          <t>Payroll</t>
        </is>
      </c>
      <c r="E58" s="19" t="inlineStr">
        <is>
          <t>/payroll/runs</t>
        </is>
      </c>
      <c r="F58" s="19" t="inlineStr">
        <is>
          <t>DRAFT → COMPUTING → COMPUTED → APPROVED → POSTED</t>
        </is>
      </c>
      <c r="G58" s="19" t="inlineStr">
        <is>
          <t>Low</t>
        </is>
      </c>
    </row>
    <row r="59" ht="36" customHeight="1">
      <c r="A59" s="19" t="inlineStr">
        <is>
          <t>8. Payroll System</t>
        </is>
      </c>
      <c r="B59" s="19" t="inlineStr">
        <is>
          <t>Generate digital payslips</t>
        </is>
      </c>
      <c r="C59" s="6" t="inlineStr">
        <is>
          <t>COVERED</t>
        </is>
      </c>
      <c r="D59" s="19" t="inlineStr">
        <is>
          <t>Payroll</t>
        </is>
      </c>
      <c r="E59" s="19" t="inlineStr">
        <is>
          <t>/payroll/payslips/&lt;id&gt;/pdf, /me/payslips</t>
        </is>
      </c>
      <c r="F59" s="19" t="inlineStr">
        <is>
          <t>On-demand PDF via reporting_service</t>
        </is>
      </c>
      <c r="G59" s="19" t="inlineStr">
        <is>
          <t>Low</t>
        </is>
      </c>
    </row>
    <row r="60" ht="36" customHeight="1">
      <c r="A60" s="19" t="inlineStr">
        <is>
          <t>8. Payroll System</t>
        </is>
      </c>
      <c r="B60" s="19" t="inlineStr">
        <is>
          <t>Benefits administration portal (integrated with payroll)</t>
        </is>
      </c>
      <c r="C60" s="6" t="inlineStr">
        <is>
          <t>COVERED</t>
        </is>
      </c>
      <c r="D60" s="19" t="inlineStr">
        <is>
          <t>ESS + Payroll</t>
        </is>
      </c>
      <c r="E60" s="19" t="inlineStr">
        <is>
          <t>/me/benefits</t>
        </is>
      </c>
      <c r="F60" s="19" t="inlineStr">
        <is>
          <t>Enrollment + employer/employee cost tracking</t>
        </is>
      </c>
      <c r="G60" s="19" t="inlineStr">
        <is>
          <t>Low</t>
        </is>
      </c>
    </row>
    <row r="61" ht="36" customHeight="1">
      <c r="A61" s="19" t="inlineStr">
        <is>
          <t>8. Payroll System</t>
        </is>
      </c>
      <c r="B61" s="19" t="inlineStr">
        <is>
          <t>Encode GSIS, Pag-IBIG, Coop, Cash Advance loans</t>
        </is>
      </c>
      <c r="C61" s="6" t="inlineStr">
        <is>
          <t>COVERED</t>
        </is>
      </c>
      <c r="D61" s="19" t="inlineStr">
        <is>
          <t>Payroll</t>
        </is>
      </c>
      <c r="E61" s="19" t="inlineStr">
        <is>
          <t>/payroll/loans</t>
        </is>
      </c>
      <c r="F61" s="19" t="inlineStr">
        <is>
          <t>pay_loans with loan_type enum covering all LGU sources</t>
        </is>
      </c>
      <c r="G61" s="19" t="inlineStr">
        <is>
          <t>Low</t>
        </is>
      </c>
    </row>
    <row r="62" ht="36" customHeight="1">
      <c r="A62" s="19" t="inlineStr">
        <is>
          <t>8. Payroll System</t>
        </is>
      </c>
      <c r="B62" s="19" t="inlineStr">
        <is>
          <t>Loan details — amount, terms, start date, end date</t>
        </is>
      </c>
      <c r="C62" s="6" t="inlineStr">
        <is>
          <t>COVERED</t>
        </is>
      </c>
      <c r="D62" s="19" t="inlineStr">
        <is>
          <t>Payroll</t>
        </is>
      </c>
      <c r="E62" s="19" t="inlineStr">
        <is>
          <t>/payroll/loans</t>
        </is>
      </c>
      <c r="F62" s="19" t="inlineStr">
        <is>
          <t>Standard fields on pay_loans</t>
        </is>
      </c>
      <c r="G62" s="19" t="inlineStr">
        <is>
          <t>Low</t>
        </is>
      </c>
    </row>
    <row r="63" ht="36" customHeight="1">
      <c r="A63" s="19" t="inlineStr">
        <is>
          <t>8. Payroll System</t>
        </is>
      </c>
      <c r="B63" s="19" t="inlineStr">
        <is>
          <t>Monthly payment &amp; outstanding balance (manual input)</t>
        </is>
      </c>
      <c r="C63" s="6" t="inlineStr">
        <is>
          <t>COVERED</t>
        </is>
      </c>
      <c r="D63" s="19" t="inlineStr">
        <is>
          <t>Payroll</t>
        </is>
      </c>
      <c r="E63" s="19" t="inlineStr">
        <is>
          <t>/payroll/loans</t>
        </is>
      </c>
      <c r="F63" s="19" t="inlineStr">
        <is>
          <t>Amortization schedule + manual override</t>
        </is>
      </c>
      <c r="G63" s="19" t="inlineStr">
        <is>
          <t>Low</t>
        </is>
      </c>
    </row>
    <row r="64" ht="36" customHeight="1">
      <c r="A64" s="19" t="inlineStr">
        <is>
          <t>8. Payroll System</t>
        </is>
      </c>
      <c r="B64" s="19" t="inlineStr">
        <is>
          <t>View Employee Loan Profile per personnel</t>
        </is>
      </c>
      <c r="C64" s="6" t="inlineStr">
        <is>
          <t>COVERED</t>
        </is>
      </c>
      <c r="D64" s="19" t="inlineStr">
        <is>
          <t>ESS</t>
        </is>
      </c>
      <c r="E64" s="19" t="inlineStr">
        <is>
          <t>/me/compensation</t>
        </is>
      </c>
      <c r="F64" s="19" t="inlineStr">
        <is>
          <t>Active loans shown on compensation page</t>
        </is>
      </c>
      <c r="G64" s="19" t="inlineStr">
        <is>
          <t>Low</t>
        </is>
      </c>
    </row>
    <row r="65" ht="36" customHeight="1">
      <c r="A65" s="19" t="inlineStr">
        <is>
          <t>8. Payroll System</t>
        </is>
      </c>
      <c r="B65" s="19" t="inlineStr">
        <is>
          <t>Generate Loan Summary List</t>
        </is>
      </c>
      <c r="C65" s="6" t="inlineStr">
        <is>
          <t>COVERED</t>
        </is>
      </c>
      <c r="D65" s="19" t="inlineStr">
        <is>
          <t>Payroll</t>
        </is>
      </c>
      <c r="E65" s="19" t="inlineStr">
        <is>
          <t>/payroll/loans (export)</t>
        </is>
      </c>
      <c r="F65" s="19" t="inlineStr">
        <is>
          <t>CSV/Excel export available</t>
        </is>
      </c>
      <c r="G65" s="19" t="inlineStr">
        <is>
          <t>Low</t>
        </is>
      </c>
    </row>
    <row r="66" ht="36" customHeight="1">
      <c r="A66" s="19" t="inlineStr">
        <is>
          <t>9. Security &amp; Data Governance</t>
        </is>
      </c>
      <c r="B66" s="19" t="inlineStr">
        <is>
          <t>Role-based permissions (HR, MIS, employees)</t>
        </is>
      </c>
      <c r="C66" s="6" t="inlineStr">
        <is>
          <t>COVERED</t>
        </is>
      </c>
      <c r="D66" s="19" t="inlineStr">
        <is>
          <t>Access Service</t>
        </is>
      </c>
      <c r="E66" s="19" t="inlineStr">
        <is>
          <t>/admin/access-matrix</t>
        </is>
      </c>
      <c r="F66" s="19" t="inlineStr">
        <is>
          <t>3-tier: page / feature / modification</t>
        </is>
      </c>
      <c r="G66" s="19" t="inlineStr">
        <is>
          <t>Low</t>
        </is>
      </c>
    </row>
    <row r="67" ht="36" customHeight="1">
      <c r="A67" s="19" t="inlineStr">
        <is>
          <t>9. Security &amp; Data Governance</t>
        </is>
      </c>
      <c r="B67" s="19" t="inlineStr">
        <is>
          <t>Audit trails — who edited what, when; access logs</t>
        </is>
      </c>
      <c r="C67" s="6" t="inlineStr">
        <is>
          <t>COVERED</t>
        </is>
      </c>
      <c r="D67" s="19" t="inlineStr">
        <is>
          <t>Audit Logs</t>
        </is>
      </c>
      <c r="E67" s="19" t="inlineStr">
        <is>
          <t>audit_logs.change_log, audit_logs.access_log</t>
        </is>
      </c>
      <c r="F67" s="19" t="inlineStr">
        <is>
          <t>Trigger-based capture</t>
        </is>
      </c>
      <c r="G67" s="19" t="inlineStr">
        <is>
          <t>Low</t>
        </is>
      </c>
    </row>
    <row r="68" ht="36" customHeight="1">
      <c r="A68" s="19" t="inlineStr">
        <is>
          <t>9. Security &amp; Data Governance</t>
        </is>
      </c>
      <c r="B68" s="19" t="inlineStr">
        <is>
          <t>Data encryption in transit &amp; at rest + backups / DR</t>
        </is>
      </c>
      <c r="C68" s="12" t="inlineStr">
        <is>
          <t>PARTIAL</t>
        </is>
      </c>
      <c r="D68" s="19" t="inlineStr">
        <is>
          <t>Infrastructure</t>
        </is>
      </c>
      <c r="E68" s="19" t="inlineStr">
        <is>
          <t>docker-compose.yml + TLS proxy</t>
        </is>
      </c>
      <c r="F68" s="19" t="inlineStr">
        <is>
          <t>TLS at reverse proxy; host disk encryption; DR via pg_dump backups/</t>
        </is>
      </c>
      <c r="G68" s="19" t="inlineStr">
        <is>
          <t>High</t>
        </is>
      </c>
    </row>
    <row r="69" ht="36" customHeight="1">
      <c r="A69" s="19" t="inlineStr">
        <is>
          <t>9. Security &amp; Data Governance</t>
        </is>
      </c>
      <c r="B69" s="19" t="inlineStr">
        <is>
          <t>Compliance modules — labor laws, tax, data privacy</t>
        </is>
      </c>
      <c r="C69" s="6" t="inlineStr">
        <is>
          <t>COVERED</t>
        </is>
      </c>
      <c r="D69" s="19" t="inlineStr">
        <is>
          <t>Privacy + Payroll</t>
        </is>
      </c>
      <c r="E69" s="19" t="inlineStr">
        <is>
          <t>/admin/privacy, /payroll</t>
        </is>
      </c>
      <c r="F69" s="19" t="inlineStr">
        <is>
          <t>RA 10173 field-level privacy; BIR/SSS/PhilHealth/HDMF schedules</t>
        </is>
      </c>
      <c r="G69" s="19" t="inlineStr">
        <is>
          <t>Low</t>
        </is>
      </c>
    </row>
    <row r="70" ht="36" customHeight="1">
      <c r="A70" s="19" t="inlineStr">
        <is>
          <t>9. Security &amp; Data Governance</t>
        </is>
      </c>
      <c r="B70" s="19" t="inlineStr">
        <is>
          <t>Archival &amp; retention — auto removal/archiving of old records</t>
        </is>
      </c>
      <c r="C70" s="12" t="inlineStr">
        <is>
          <t>PARTIAL</t>
        </is>
      </c>
      <c r="D70" s="19" t="inlineStr">
        <is>
          <t>DMS</t>
        </is>
      </c>
      <c r="E70" s="19" t="inlineStr">
        <is>
          <t>/admin/reference-data/retention_policies</t>
        </is>
      </c>
      <c r="F70" s="19" t="inlineStr">
        <is>
          <t>Policies exist; scheduled archival job to be built</t>
        </is>
      </c>
      <c r="G70" s="19" t="inlineStr">
        <is>
          <t>Medium</t>
        </is>
      </c>
    </row>
    <row r="71" ht="36" customHeight="1">
      <c r="A71" s="19" t="inlineStr">
        <is>
          <t>10. Employee Records Management</t>
        </is>
      </c>
      <c r="B71" s="19" t="inlineStr">
        <is>
          <t>Central searchable employee profile</t>
        </is>
      </c>
      <c r="C71" s="6" t="inlineStr">
        <is>
          <t>COVERED</t>
        </is>
      </c>
      <c r="D71" s="19" t="inlineStr">
        <is>
          <t>Core HR</t>
        </is>
      </c>
      <c r="E71" s="19" t="inlineStr">
        <is>
          <t>/employees, /employees/&lt;id&gt;</t>
        </is>
      </c>
      <c r="F71" s="19" t="inlineStr">
        <is>
          <t>201 file with sub-records; global search at /search</t>
        </is>
      </c>
      <c r="G71" s="19" t="inlineStr">
        <is>
          <t>Low</t>
        </is>
      </c>
    </row>
    <row r="72" ht="36" customHeight="1">
      <c r="A72" s="19" t="inlineStr">
        <is>
          <t>10. Employee Records Management</t>
        </is>
      </c>
      <c r="B72" s="19" t="inlineStr">
        <is>
          <t>Digital document storage with version control &amp; expiry</t>
        </is>
      </c>
      <c r="C72" s="6" t="inlineStr">
        <is>
          <t>COVERED</t>
        </is>
      </c>
      <c r="D72" s="19" t="inlineStr">
        <is>
          <t>DMS</t>
        </is>
      </c>
      <c r="E72" s="19" t="inlineStr">
        <is>
          <t>/dms, /employees/&lt;id&gt;/documents</t>
        </is>
      </c>
      <c r="F72" s="19" t="inlineStr">
        <is>
          <t>document_categories + expiration + retention</t>
        </is>
      </c>
      <c r="G72" s="19" t="inlineStr">
        <is>
          <t>Low</t>
        </is>
      </c>
    </row>
    <row r="73" ht="36" customHeight="1">
      <c r="A73" s="19" t="inlineStr">
        <is>
          <t>10. Employee Records Management</t>
        </is>
      </c>
      <c r="B73" s="19" t="inlineStr">
        <is>
          <t>Role / position management; live org chart</t>
        </is>
      </c>
      <c r="C73" s="6" t="inlineStr">
        <is>
          <t>COVERED</t>
        </is>
      </c>
      <c r="D73" s="19" t="inlineStr">
        <is>
          <t>Core HR + Orgchart</t>
        </is>
      </c>
      <c r="E73" s="19" t="inlineStr">
        <is>
          <t>/orgchart, /admin/reference-data/positions</t>
        </is>
      </c>
      <c r="F73" s="19" t="inlineStr">
        <is>
          <t>Positions + departments + org chart</t>
        </is>
      </c>
      <c r="G73" s="19" t="inlineStr">
        <is>
          <t>Low</t>
        </is>
      </c>
    </row>
    <row r="74" ht="36" customHeight="1">
      <c r="A74" s="19" t="inlineStr">
        <is>
          <t>10. Employee Records Management</t>
        </is>
      </c>
      <c r="B74" s="19" t="inlineStr">
        <is>
          <t>Full lifecycle — recruitment → onboarding → active → transitions → offboarding</t>
        </is>
      </c>
      <c r="C74" s="6" t="inlineStr">
        <is>
          <t>COVERED</t>
        </is>
      </c>
      <c r="D74" s="19" t="inlineStr">
        <is>
          <t>Multiple</t>
        </is>
      </c>
      <c r="E74" s="19" t="inlineStr">
        <is>
          <t>/recruitment, /me/onboarding, /employees, /me/offboarding</t>
        </is>
      </c>
      <c r="F74" s="19" t="inlineStr">
        <is>
          <t>End-to-end coverage</t>
        </is>
      </c>
      <c r="G74" s="19" t="inlineStr">
        <is>
          <t>Low</t>
        </is>
      </c>
    </row>
    <row r="75" ht="36" customHeight="1">
      <c r="A75" s="19" t="inlineStr">
        <is>
          <t>10. Employee Records Management</t>
        </is>
      </c>
      <c r="B75" s="19" t="inlineStr">
        <is>
          <t>Paperless records with e-signatures, version control, audit</t>
        </is>
      </c>
      <c r="C75" s="12" t="inlineStr">
        <is>
          <t>PARTIAL</t>
        </is>
      </c>
      <c r="D75" s="19" t="inlineStr">
        <is>
          <t>DMS</t>
        </is>
      </c>
      <c r="E75" s="19" t="inlineStr">
        <is>
          <t>/dms</t>
        </is>
      </c>
      <c r="F75" s="19" t="inlineStr">
        <is>
          <t>Paperless + audit exists; e-signature integration pending</t>
        </is>
      </c>
      <c r="G75" s="19" t="inlineStr">
        <is>
          <t>High</t>
        </is>
      </c>
    </row>
    <row r="76" ht="36" customHeight="1">
      <c r="A76" s="19" t="inlineStr">
        <is>
          <t>10. Employee Records Management</t>
        </is>
      </c>
      <c r="B76" s="19" t="inlineStr">
        <is>
          <t>Employee Masterfile (Personal &amp; Employment)</t>
        </is>
      </c>
      <c r="C76" s="6" t="inlineStr">
        <is>
          <t>COVERED</t>
        </is>
      </c>
      <c r="D76" s="19" t="inlineStr">
        <is>
          <t>Core HR</t>
        </is>
      </c>
      <c r="E76" s="19" t="inlineStr">
        <is>
          <t>/employees/&lt;id&gt;</t>
        </is>
      </c>
      <c r="F76" s="19" t="inlineStr">
        <is>
          <t>v_employees_full view exposes everything</t>
        </is>
      </c>
      <c r="G76" s="19" t="inlineStr">
        <is>
          <t>Low</t>
        </is>
      </c>
    </row>
    <row r="77" ht="36" customHeight="1">
      <c r="A77" s="19" t="inlineStr">
        <is>
          <t>10. Employee Records Management</t>
        </is>
      </c>
      <c r="B77" s="19" t="inlineStr">
        <is>
          <t>Personal Data Sheet (PDS) storage — CSC template</t>
        </is>
      </c>
      <c r="C77" s="13" t="inlineStr">
        <is>
          <t>GAP</t>
        </is>
      </c>
      <c r="D77" s="19" t="inlineStr">
        <is>
          <t>DMS + Core HR</t>
        </is>
      </c>
      <c r="E77" s="19" t="inlineStr">
        <is>
          <t>/employees/&lt;id&gt;/pds (to build)</t>
        </is>
      </c>
      <c r="F77" s="19" t="inlineStr">
        <is>
          <t>Build PDS form following CSC template; auto-fill from masterfile</t>
        </is>
      </c>
      <c r="G77" s="19" t="inlineStr">
        <is>
          <t>High</t>
        </is>
      </c>
    </row>
    <row r="78" ht="36" customHeight="1">
      <c r="A78" s="19" t="inlineStr">
        <is>
          <t>10. Employee Records Management</t>
        </is>
      </c>
      <c r="B78" s="19" t="inlineStr">
        <is>
          <t>Service Records &amp; Appointment History</t>
        </is>
      </c>
      <c r="C78" s="12" t="inlineStr">
        <is>
          <t>PARTIAL</t>
        </is>
      </c>
      <c r="D78" s="19" t="inlineStr">
        <is>
          <t>Core HR</t>
        </is>
      </c>
      <c r="E78" s="19" t="inlineStr">
        <is>
          <t>/employees/&lt;id&gt;/service-record</t>
        </is>
      </c>
      <c r="F78" s="19" t="inlineStr">
        <is>
          <t>Transitions tracked; formal CSC Service Record export pending</t>
        </is>
      </c>
      <c r="G78" s="19" t="inlineStr">
        <is>
          <t>High</t>
        </is>
      </c>
    </row>
    <row r="79" ht="36" customHeight="1">
      <c r="A79" s="19" t="inlineStr">
        <is>
          <t>10.1 HR Demographics (M/F breakdown)</t>
        </is>
      </c>
      <c r="B79" s="19" t="inlineStr">
        <is>
          <t>Gender Profile — total M/F overall + by dept/office</t>
        </is>
      </c>
      <c r="C79" s="6" t="inlineStr">
        <is>
          <t>COVERED</t>
        </is>
      </c>
      <c r="D79" s="19" t="inlineStr">
        <is>
          <t>Analytics</t>
        </is>
      </c>
      <c r="E79" s="19" t="inlineStr">
        <is>
          <t>/reports/demographics</t>
        </is>
      </c>
      <c r="F79" s="19" t="inlineStr">
        <is>
          <t>Demographics dashboard with department split</t>
        </is>
      </c>
      <c r="G79" s="19" t="inlineStr">
        <is>
          <t>Low</t>
        </is>
      </c>
    </row>
    <row r="80" ht="36" customHeight="1">
      <c r="A80" s="19" t="inlineStr">
        <is>
          <t>10.1 HR Demographics (M/F breakdown)</t>
        </is>
      </c>
      <c r="B80" s="19" t="inlineStr">
        <is>
          <t>Age Profile — distribution by gender</t>
        </is>
      </c>
      <c r="C80" s="6" t="inlineStr">
        <is>
          <t>COVERED</t>
        </is>
      </c>
      <c r="D80" s="19" t="inlineStr">
        <is>
          <t>Analytics</t>
        </is>
      </c>
      <c r="E80" s="19" t="inlineStr">
        <is>
          <t>/reports/demographics</t>
        </is>
      </c>
      <c r="F80" s="19" t="inlineStr">
        <is>
          <t>Age-bucket histogram with gender</t>
        </is>
      </c>
      <c r="G80" s="19" t="inlineStr">
        <is>
          <t>Low</t>
        </is>
      </c>
    </row>
    <row r="81" ht="36" customHeight="1">
      <c r="A81" s="19" t="inlineStr">
        <is>
          <t>10.1 HR Demographics (M/F breakdown)</t>
        </is>
      </c>
      <c r="B81" s="19" t="inlineStr">
        <is>
          <t>Status of Appointment — Permanent/Casual/Contractual/JO/COS by sex</t>
        </is>
      </c>
      <c r="C81" s="12" t="inlineStr">
        <is>
          <t>PARTIAL</t>
        </is>
      </c>
      <c r="D81" s="19" t="inlineStr">
        <is>
          <t>Core HR + Analytics</t>
        </is>
      </c>
      <c r="E81" s="19" t="inlineStr">
        <is>
          <t>/admin/reference-data/employment_types</t>
        </is>
      </c>
      <c r="F81" s="19" t="inlineStr">
        <is>
          <t>Add JO and COS as employment types; extend report</t>
        </is>
      </c>
      <c r="G81" s="19" t="inlineStr">
        <is>
          <t>Medium</t>
        </is>
      </c>
    </row>
    <row r="82" ht="36" customHeight="1">
      <c r="A82" s="19" t="inlineStr">
        <is>
          <t>10.1 HR Demographics (M/F breakdown)</t>
        </is>
      </c>
      <c r="B82" s="19" t="inlineStr">
        <is>
          <t>Rank Classification — Rank-and-File vs Officer/Supervisory M/F</t>
        </is>
      </c>
      <c r="C82" s="12" t="inlineStr">
        <is>
          <t>PARTIAL</t>
        </is>
      </c>
      <c r="D82" s="19" t="inlineStr">
        <is>
          <t>Core HR</t>
        </is>
      </c>
      <c r="E82" s="19" t="inlineStr">
        <is>
          <t>core.positions</t>
        </is>
      </c>
      <c r="F82" s="19" t="inlineStr">
        <is>
          <t>Add rank_classification column to core.positions; feed report</t>
        </is>
      </c>
      <c r="G82" s="19" t="inlineStr">
        <is>
          <t>Medium</t>
        </is>
      </c>
    </row>
    <row r="83" ht="36" customHeight="1">
      <c r="A83" s="19" t="inlineStr">
        <is>
          <t>10.1 HR Demographics (M/F breakdown)</t>
        </is>
      </c>
      <c r="B83" s="19" t="inlineStr">
        <is>
          <t>Educational Attainment by gender (Graduate/College/HS/Elementary)</t>
        </is>
      </c>
      <c r="C83" s="12" t="inlineStr">
        <is>
          <t>PARTIAL</t>
        </is>
      </c>
      <c r="D83" s="19" t="inlineStr">
        <is>
          <t>Core HR</t>
        </is>
      </c>
      <c r="E83" s="19" t="inlineStr">
        <is>
          <t>core.employees.education_level</t>
        </is>
      </c>
      <c r="F83" s="19" t="inlineStr">
        <is>
          <t>Field exists; CSC-specific buckets and reporting to add</t>
        </is>
      </c>
      <c r="G83" s="19" t="inlineStr">
        <is>
          <t>Medium</t>
        </is>
      </c>
    </row>
    <row r="84" ht="36" customHeight="1">
      <c r="A84" s="19" t="inlineStr">
        <is>
          <t>10.1 HR Demographics (M/F breakdown)</t>
        </is>
      </c>
      <c r="B84" s="19" t="inlineStr">
        <is>
          <t>Eligibility Profile — 1st Level / 2nd Level by gender</t>
        </is>
      </c>
      <c r="C84" s="13" t="inlineStr">
        <is>
          <t>GAP</t>
        </is>
      </c>
      <c r="D84" s="19" t="inlineStr">
        <is>
          <t>Core HR + RSP</t>
        </is>
      </c>
      <c r="E84" s="19" t="inlineStr">
        <is>
          <t>rsp.csc_eligibilities</t>
        </is>
      </c>
      <c r="F84" s="19" t="inlineStr">
        <is>
          <t>Add 1st/2nd level classification + demographic report</t>
        </is>
      </c>
      <c r="G84" s="19" t="inlineStr">
        <is>
          <t>High</t>
        </is>
      </c>
    </row>
    <row r="85" ht="36" customHeight="1">
      <c r="A85" s="19" t="inlineStr">
        <is>
          <t>10.1 HR Demographics (M/F breakdown)</t>
        </is>
      </c>
      <c r="B85" s="19" t="inlineStr">
        <is>
          <t>Plantilla Summary — filled vs vacant by gender</t>
        </is>
      </c>
      <c r="C85" s="12" t="inlineStr">
        <is>
          <t>PARTIAL</t>
        </is>
      </c>
      <c r="D85" s="19" t="inlineStr">
        <is>
          <t>Workforce Planning</t>
        </is>
      </c>
      <c r="E85" s="19" t="inlineStr">
        <is>
          <t>/workforce-planning</t>
        </is>
      </c>
      <c r="F85" s="19" t="inlineStr">
        <is>
          <t>Current vs. planned shown; plantilla report needs gender split</t>
        </is>
      </c>
      <c r="G85" s="19" t="inlineStr">
        <is>
          <t>Medium</t>
        </is>
      </c>
    </row>
    <row r="86" ht="36" customHeight="1">
      <c r="A86" s="19" t="inlineStr">
        <is>
          <t>10.1 HR Demographics (M/F breakdown)</t>
        </is>
      </c>
      <c r="B86" s="19" t="inlineStr">
        <is>
          <t>Salary Grade Distribution — count per grade with M/F</t>
        </is>
      </c>
      <c r="C86" s="6" t="inlineStr">
        <is>
          <t>COVERED</t>
        </is>
      </c>
      <c r="D86" s="19" t="inlineStr">
        <is>
          <t>Analytics</t>
        </is>
      </c>
      <c r="E86" s="19" t="inlineStr">
        <is>
          <t>/reports/demographics</t>
        </is>
      </c>
      <c r="F86" s="19" t="inlineStr">
        <is>
          <t>Salary grade × gender matrix</t>
        </is>
      </c>
      <c r="G86" s="19" t="inlineStr">
        <is>
          <t>Low</t>
        </is>
      </c>
    </row>
    <row r="87" ht="36" customHeight="1">
      <c r="A87" s="19" t="inlineStr">
        <is>
          <t>10.1 HR Demographics (M/F breakdown)</t>
        </is>
      </c>
      <c r="B87" s="19" t="inlineStr">
        <is>
          <t>Training history per employee + summary with gender breakout</t>
        </is>
      </c>
      <c r="C87" s="6" t="inlineStr">
        <is>
          <t>COVERED</t>
        </is>
      </c>
      <c r="D87" s="19" t="inlineStr">
        <is>
          <t>L&amp;D + Analytics</t>
        </is>
      </c>
      <c r="E87" s="19" t="inlineStr">
        <is>
          <t>/reports/training, /learning/attendance</t>
        </is>
      </c>
      <c r="F87" s="19" t="inlineStr">
        <is>
          <t>Enrollment &amp; completion data</t>
        </is>
      </c>
      <c r="G87" s="19" t="inlineStr">
        <is>
          <t>Low</t>
        </is>
      </c>
    </row>
    <row r="88" ht="36" customHeight="1">
      <c r="A88" s="19" t="inlineStr">
        <is>
          <t>11. Reporting, Analytics &amp; Dashboards</t>
        </is>
      </c>
      <c r="B88" s="19" t="inlineStr">
        <is>
          <t>Real-time dashboards (headcount, turnover, absence, leave trends)</t>
        </is>
      </c>
      <c r="C88" s="6" t="inlineStr">
        <is>
          <t>COVERED</t>
        </is>
      </c>
      <c r="D88" s="19" t="inlineStr">
        <is>
          <t>Analytics</t>
        </is>
      </c>
      <c r="E88" s="19" t="inlineStr">
        <is>
          <t>/ (main), /reports</t>
        </is>
      </c>
      <c r="F88" s="19" t="inlineStr">
        <is>
          <t>dashboard_metrics drives role-filtered KPI cards</t>
        </is>
      </c>
      <c r="G88" s="19" t="inlineStr">
        <is>
          <t>Low</t>
        </is>
      </c>
    </row>
    <row r="89" ht="36" customHeight="1">
      <c r="A89" s="19" t="inlineStr">
        <is>
          <t>11. Reporting, Analytics &amp; Dashboards</t>
        </is>
      </c>
      <c r="B89" s="19" t="inlineStr">
        <is>
          <t>Pre-built &amp; custom reports; CSV/Excel export</t>
        </is>
      </c>
      <c r="C89" s="6" t="inlineStr">
        <is>
          <t>COVERED</t>
        </is>
      </c>
      <c r="D89" s="19" t="inlineStr">
        <is>
          <t>Analytics</t>
        </is>
      </c>
      <c r="E89" s="19" t="inlineStr">
        <is>
          <t>/reports</t>
        </is>
      </c>
      <c r="F89" s="19" t="inlineStr">
        <is>
          <t>Saved queries + parameters; export utilities</t>
        </is>
      </c>
      <c r="G89" s="19" t="inlineStr">
        <is>
          <t>Low</t>
        </is>
      </c>
    </row>
    <row r="90" ht="36" customHeight="1">
      <c r="A90" s="19" t="inlineStr">
        <is>
          <t>11. Reporting, Analytics &amp; Dashboards</t>
        </is>
      </c>
      <c r="B90" s="19" t="inlineStr">
        <is>
          <t>Predictive analytics — retention risk, workforce forecast</t>
        </is>
      </c>
      <c r="C90" s="12" t="inlineStr">
        <is>
          <t>PARTIAL</t>
        </is>
      </c>
      <c r="D90" s="19" t="inlineStr">
        <is>
          <t>AI + Workforce Planning</t>
        </is>
      </c>
      <c r="E90" s="19" t="inlineStr">
        <is>
          <t>/ai, /workforce-planning</t>
        </is>
      </c>
      <c r="F90" s="19" t="inlineStr">
        <is>
          <t>Scenarios + AI assistant exist; explicit attrition scoring model pending</t>
        </is>
      </c>
      <c r="G90" s="19" t="inlineStr">
        <is>
          <t>Medium</t>
        </is>
      </c>
    </row>
    <row r="91" ht="36" customHeight="1">
      <c r="A91" s="19" t="inlineStr">
        <is>
          <t>12. Self-Service &amp; Mobile</t>
        </is>
      </c>
      <c r="B91" s="19" t="inlineStr">
        <is>
          <t>All functions accessible on mobile</t>
        </is>
      </c>
      <c r="C91" s="12" t="inlineStr">
        <is>
          <t>PARTIAL</t>
        </is>
      </c>
      <c r="D91" s="19" t="inlineStr">
        <is>
          <t>UI</t>
        </is>
      </c>
      <c r="E91" s="19" t="inlineStr">
        <is>
          <t>All /me/* pages</t>
        </is>
      </c>
      <c r="F91" s="19" t="inlineStr">
        <is>
          <t>Responsive web; native mobile app to enhance</t>
        </is>
      </c>
      <c r="G91" s="19" t="inlineStr">
        <is>
          <t>High</t>
        </is>
      </c>
    </row>
    <row r="92" ht="36" customHeight="1">
      <c r="A92" s="19" t="inlineStr">
        <is>
          <t>12. Self-Service &amp; Mobile</t>
        </is>
      </c>
      <c r="B92" s="19" t="inlineStr">
        <is>
          <t>Employee self-service portal</t>
        </is>
      </c>
      <c r="C92" s="6" t="inlineStr">
        <is>
          <t>COVERED</t>
        </is>
      </c>
      <c r="D92" s="19" t="inlineStr">
        <is>
          <t>ESS</t>
        </is>
      </c>
      <c r="E92" s="19" t="inlineStr">
        <is>
          <t>/me, /me/profile, /me/leaves, /me/payslips</t>
        </is>
      </c>
      <c r="F92" s="19" t="inlineStr">
        <is>
          <t>Full self-service suite</t>
        </is>
      </c>
      <c r="G92" s="19" t="inlineStr">
        <is>
          <t>Low</t>
        </is>
      </c>
    </row>
    <row r="93" ht="36" customHeight="1">
      <c r="A93" s="19" t="inlineStr">
        <is>
          <t>12. Self-Service &amp; Mobile</t>
        </is>
      </c>
      <c r="B93" s="19" t="inlineStr">
        <is>
          <t>Dept head self-service — approve leaves, dashboards, team reports</t>
        </is>
      </c>
      <c r="C93" s="6" t="inlineStr">
        <is>
          <t>COVERED</t>
        </is>
      </c>
      <c r="D93" s="19" t="inlineStr">
        <is>
          <t>MSS</t>
        </is>
      </c>
      <c r="E93" s="19" t="inlineStr">
        <is>
          <t>/team, /team/approvals, /me/inbox</t>
        </is>
      </c>
      <c r="F93" s="19" t="inlineStr">
        <is>
          <t>Manager service ready</t>
        </is>
      </c>
      <c r="G93" s="19" t="inlineStr">
        <is>
          <t>Low</t>
        </is>
      </c>
    </row>
    <row r="94" ht="36" customHeight="1">
      <c r="A94" s="19" t="inlineStr">
        <is>
          <t>12. Self-Service &amp; Mobile</t>
        </is>
      </c>
      <c r="B94" s="19" t="inlineStr">
        <is>
          <t>Online Request — COE, Service Record, SALN PDF, Appointment PDF</t>
        </is>
      </c>
      <c r="C94" s="12" t="inlineStr">
        <is>
          <t>PARTIAL</t>
        </is>
      </c>
      <c r="D94" s="19" t="inlineStr">
        <is>
          <t>DMS</t>
        </is>
      </c>
      <c r="E94" s="19" t="inlineStr">
        <is>
          <t>/me/certificates</t>
        </is>
      </c>
      <c r="F94" s="19" t="inlineStr">
        <is>
          <t>COE &amp; Service Record present; SALN and Appointment templates pending</t>
        </is>
      </c>
      <c r="G94" s="19" t="inlineStr">
        <is>
          <t>High</t>
        </is>
      </c>
    </row>
    <row r="95" ht="36" customHeight="1">
      <c r="A95" s="19" t="inlineStr">
        <is>
          <t>13. Modern / Futuristic Add-Ons</t>
        </is>
      </c>
      <c r="B95" s="19" t="inlineStr">
        <is>
          <t>Chatbot / self-help assistant</t>
        </is>
      </c>
      <c r="C95" s="12" t="inlineStr">
        <is>
          <t>PARTIAL</t>
        </is>
      </c>
      <c r="D95" s="19" t="inlineStr">
        <is>
          <t>AI</t>
        </is>
      </c>
      <c r="E95" s="19" t="inlineStr">
        <is>
          <t>/ai</t>
        </is>
      </c>
      <c r="F95" s="19" t="inlineStr">
        <is>
          <t>ARIA AI exists; conversational chatbot UI to be enhanced</t>
        </is>
      </c>
      <c r="G95" s="19" t="inlineStr">
        <is>
          <t>Medium</t>
        </is>
      </c>
    </row>
    <row r="96" ht="36" customHeight="1">
      <c r="A96" s="19" t="inlineStr">
        <is>
          <t>13. Modern / Futuristic Add-Ons</t>
        </is>
      </c>
      <c r="B96" s="19" t="inlineStr">
        <is>
          <t>AI-driven insights — skill gap, training, attrition risk</t>
        </is>
      </c>
      <c r="C96" s="12" t="inlineStr">
        <is>
          <t>PARTIAL</t>
        </is>
      </c>
      <c r="D96" s="19" t="inlineStr">
        <is>
          <t>AI + Workforce Planning</t>
        </is>
      </c>
      <c r="E96" s="19" t="inlineStr">
        <is>
          <t>/ai, /workforce-planning</t>
        </is>
      </c>
      <c r="F96" s="19" t="inlineStr">
        <is>
          <t>Skill gap built in; attrition scoring model to add</t>
        </is>
      </c>
      <c r="G96" s="19" t="inlineStr">
        <is>
          <t>Medium</t>
        </is>
      </c>
    </row>
    <row r="97" ht="36" customHeight="1">
      <c r="A97" s="19" t="inlineStr">
        <is>
          <t>13. Modern / Futuristic Add-Ons</t>
        </is>
      </c>
      <c r="B97" s="19" t="inlineStr">
        <is>
          <t>Flexible work — hybrid/remote, geolocation clock-in, virtual check-in</t>
        </is>
      </c>
      <c r="C97" s="13" t="inlineStr">
        <is>
          <t>GAP</t>
        </is>
      </c>
      <c r="D97" s="19" t="inlineStr">
        <is>
          <t>Attendance</t>
        </is>
      </c>
      <c r="E97" s="19" t="inlineStr">
        <is>
          <t>mobile app (to build)</t>
        </is>
      </c>
      <c r="F97" s="19" t="inlineStr">
        <is>
          <t>Work arrangement tracked; geolocation clock-in requires mobile</t>
        </is>
      </c>
      <c r="G97" s="19" t="inlineStr">
        <is>
          <t>High</t>
        </is>
      </c>
    </row>
    <row r="98" ht="36" customHeight="1">
      <c r="A98" s="19" t="inlineStr">
        <is>
          <t>13. Modern / Futuristic Add-Ons</t>
        </is>
      </c>
      <c r="B98" s="19" t="inlineStr">
        <is>
          <t>Digital org chart — drag-drop, reporting lines, vacancies live</t>
        </is>
      </c>
      <c r="C98" s="12" t="inlineStr">
        <is>
          <t>PARTIAL</t>
        </is>
      </c>
      <c r="D98" s="19" t="inlineStr">
        <is>
          <t>Orgchart</t>
        </is>
      </c>
      <c r="E98" s="19" t="inlineStr">
        <is>
          <t>/orgchart</t>
        </is>
      </c>
      <c r="F98" s="19" t="inlineStr">
        <is>
          <t>Tree visualization + privacy; drag-drop editing pending</t>
        </is>
      </c>
      <c r="G98" s="19" t="inlineStr">
        <is>
          <t>Medium</t>
        </is>
      </c>
    </row>
    <row r="99" ht="36" customHeight="1">
      <c r="A99" s="19" t="inlineStr">
        <is>
          <t>14. Integration &amp; Ecosystem</t>
        </is>
      </c>
      <c r="B99" s="19" t="inlineStr">
        <is>
          <t>API / connectors — payroll, ERP/finance, SSO, time-clock</t>
        </is>
      </c>
      <c r="C99" s="12" t="inlineStr">
        <is>
          <t>PARTIAL</t>
        </is>
      </c>
      <c r="D99" s="19" t="inlineStr">
        <is>
          <t>Multiple</t>
        </is>
      </c>
      <c r="E99" s="19" t="inlineStr">
        <is>
          <t>payroll_web service, SSO JWT flow</t>
        </is>
      </c>
      <c r="F99" s="19" t="inlineStr">
        <is>
          <t>Payroll microservice + JWT SSO; formal REST API + ERP/biometric connectors to document</t>
        </is>
      </c>
      <c r="G99" s="19" t="inlineStr">
        <is>
          <t>Medium</t>
        </is>
      </c>
    </row>
    <row r="100" ht="36" customHeight="1">
      <c r="A100" s="19" t="inlineStr">
        <is>
          <t>14. Integration &amp; Ecosystem</t>
        </is>
      </c>
      <c r="B100" s="19" t="inlineStr">
        <is>
          <t>Data import/export — migration, bulk updates</t>
        </is>
      </c>
      <c r="C100" s="6" t="inlineStr">
        <is>
          <t>COVERED</t>
        </is>
      </c>
      <c r="D100" s="19" t="inlineStr">
        <is>
          <t>Admin</t>
        </is>
      </c>
      <c r="E100" s="19" t="inlineStr">
        <is>
          <t>/admin/reference, /admin/demo-data</t>
        </is>
      </c>
      <c r="F100" s="19" t="inlineStr">
        <is>
          <t>CSV import tools + Demo Data profiles</t>
        </is>
      </c>
      <c r="G100" s="19" t="inlineStr">
        <is>
          <t>Low</t>
        </is>
      </c>
    </row>
  </sheetData>
  <autoFilter ref="A1:G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40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Gap Backlog — Items to Build for LGU Deployment</t>
        </is>
      </c>
    </row>
    <row r="3">
      <c r="A3" s="5" t="inlineStr">
        <is>
          <t>ID</t>
        </is>
      </c>
      <c r="B3" s="5" t="inlineStr">
        <is>
          <t>Requirement</t>
        </is>
      </c>
      <c r="C3" s="5" t="inlineStr">
        <is>
          <t>Target Module</t>
        </is>
      </c>
      <c r="D3" s="5" t="inlineStr">
        <is>
          <t>Target Page / Route</t>
        </is>
      </c>
      <c r="E3" s="5" t="inlineStr">
        <is>
          <t>Effort Size</t>
        </is>
      </c>
      <c r="F3" s="5" t="inlineStr">
        <is>
          <t>Estimate</t>
        </is>
      </c>
      <c r="G3" s="5" t="inlineStr">
        <is>
          <t>Priority</t>
        </is>
      </c>
    </row>
    <row r="4" ht="32" customHeight="1">
      <c r="A4" s="19" t="inlineStr">
        <is>
          <t>G01</t>
        </is>
      </c>
      <c r="B4" s="19" t="inlineStr">
        <is>
          <t>CS Form No. 6 leave application template &amp; strict workflow</t>
        </is>
      </c>
      <c r="C4" s="19" t="inlineStr">
        <is>
          <t>Leave Management</t>
        </is>
      </c>
      <c r="D4" s="19" t="inlineStr">
        <is>
          <t>/leave/requests/new (CS6 mode)</t>
        </is>
      </c>
      <c r="E4" s="19" t="inlineStr">
        <is>
          <t>Medium</t>
        </is>
      </c>
      <c r="F4" s="19" t="inlineStr">
        <is>
          <t>2 weeks</t>
        </is>
      </c>
      <c r="G4" s="13" t="inlineStr">
        <is>
          <t>High</t>
        </is>
      </c>
    </row>
    <row r="5" ht="32" customHeight="1">
      <c r="A5" s="19" t="inlineStr">
        <is>
          <t>G02</t>
        </is>
      </c>
      <c r="B5" s="19" t="inlineStr">
        <is>
          <t>CS Form No. 7 Exit Interview template</t>
        </is>
      </c>
      <c r="C5" s="19" t="inlineStr">
        <is>
          <t>Offboarding + DMS</t>
        </is>
      </c>
      <c r="D5" s="19" t="inlineStr">
        <is>
          <t>/me/offboarding/cs7</t>
        </is>
      </c>
      <c r="E5" s="19" t="inlineStr">
        <is>
          <t>Small</t>
        </is>
      </c>
      <c r="F5" s="19" t="inlineStr">
        <is>
          <t>1 week</t>
        </is>
      </c>
      <c r="G5" s="13" t="inlineStr">
        <is>
          <t>High</t>
        </is>
      </c>
    </row>
    <row r="6" ht="32" customHeight="1">
      <c r="A6" s="19" t="inlineStr">
        <is>
          <t>G03</t>
        </is>
      </c>
      <c r="B6" s="19" t="inlineStr">
        <is>
          <t>Travel Order module with pre-approval + DTR integration</t>
        </is>
      </c>
      <c r="C6" s="19" t="inlineStr">
        <is>
          <t>New module</t>
        </is>
      </c>
      <c r="D6" s="19" t="inlineStr">
        <is>
          <t>/travel-orders</t>
        </is>
      </c>
      <c r="E6" s="19" t="inlineStr">
        <is>
          <t>Medium</t>
        </is>
      </c>
      <c r="F6" s="19" t="inlineStr">
        <is>
          <t>3 weeks</t>
        </is>
      </c>
      <c r="G6" s="13" t="inlineStr">
        <is>
          <t>High</t>
        </is>
      </c>
    </row>
    <row r="7" ht="32" customHeight="1">
      <c r="A7" s="19" t="inlineStr">
        <is>
          <t>G04</t>
        </is>
      </c>
      <c r="B7" s="19" t="inlineStr">
        <is>
          <t>Locator Slip module with pre-approval</t>
        </is>
      </c>
      <c r="C7" s="19" t="inlineStr">
        <is>
          <t>New module</t>
        </is>
      </c>
      <c r="D7" s="19" t="inlineStr">
        <is>
          <t>/locator-slips</t>
        </is>
      </c>
      <c r="E7" s="19" t="inlineStr">
        <is>
          <t>Small</t>
        </is>
      </c>
      <c r="F7" s="19" t="inlineStr">
        <is>
          <t>2 weeks</t>
        </is>
      </c>
      <c r="G7" s="13" t="inlineStr">
        <is>
          <t>High</t>
        </is>
      </c>
    </row>
    <row r="8" ht="32" customHeight="1">
      <c r="A8" s="19" t="inlineStr">
        <is>
          <t>G05</t>
        </is>
      </c>
      <c r="B8" s="19" t="inlineStr">
        <is>
          <t>Face-recognition attendance integration</t>
        </is>
      </c>
      <c r="C8" s="19" t="inlineStr">
        <is>
          <t>Attendance + 3rd-party</t>
        </is>
      </c>
      <c r="D8" s="19" t="inlineStr">
        <is>
          <t>mobile app + face-match API</t>
        </is>
      </c>
      <c r="E8" s="19" t="inlineStr">
        <is>
          <t>Large</t>
        </is>
      </c>
      <c r="F8" s="19" t="inlineStr">
        <is>
          <t>6 weeks</t>
        </is>
      </c>
      <c r="G8" s="13" t="inlineStr">
        <is>
          <t>High</t>
        </is>
      </c>
    </row>
    <row r="9" ht="32" customHeight="1">
      <c r="A9" s="19" t="inlineStr">
        <is>
          <t>G06</t>
        </is>
      </c>
      <c r="B9" s="19" t="inlineStr">
        <is>
          <t>Mobile flag-raising/lowering check-in with photo + geotag</t>
        </is>
      </c>
      <c r="C9" s="19" t="inlineStr">
        <is>
          <t>Attendance + Mobile</t>
        </is>
      </c>
      <c r="D9" s="19" t="inlineStr">
        <is>
          <t>mobile app</t>
        </is>
      </c>
      <c r="E9" s="19" t="inlineStr">
        <is>
          <t>Large</t>
        </is>
      </c>
      <c r="F9" s="19" t="inlineStr">
        <is>
          <t>6 weeks</t>
        </is>
      </c>
      <c r="G9" s="13" t="inlineStr">
        <is>
          <t>High</t>
        </is>
      </c>
    </row>
    <row r="10" ht="32" customHeight="1">
      <c r="A10" s="19" t="inlineStr">
        <is>
          <t>G07</t>
        </is>
      </c>
      <c r="B10" s="19" t="inlineStr">
        <is>
          <t>Job Order / LSB / BHW / Nutritionist Scholar contracts</t>
        </is>
      </c>
      <c r="C10" s="19" t="inlineStr">
        <is>
          <t>Recruitment</t>
        </is>
      </c>
      <c r="D10" s="19" t="inlineStr">
        <is>
          <t>/recruitment/contracts</t>
        </is>
      </c>
      <c r="E10" s="19" t="inlineStr">
        <is>
          <t>Medium</t>
        </is>
      </c>
      <c r="F10" s="19" t="inlineStr">
        <is>
          <t>3 weeks</t>
        </is>
      </c>
      <c r="G10" s="13" t="inlineStr">
        <is>
          <t>High</t>
        </is>
      </c>
    </row>
    <row r="11" ht="32" customHeight="1">
      <c r="A11" s="19" t="inlineStr">
        <is>
          <t>G08</t>
        </is>
      </c>
      <c r="B11" s="19" t="inlineStr">
        <is>
          <t>Electronic signature on documents</t>
        </is>
      </c>
      <c r="C11" s="19" t="inlineStr">
        <is>
          <t>DMS</t>
        </is>
      </c>
      <c r="D11" s="19" t="inlineStr">
        <is>
          <t>/dms (e-sig integration)</t>
        </is>
      </c>
      <c r="E11" s="19" t="inlineStr">
        <is>
          <t>Medium</t>
        </is>
      </c>
      <c r="F11" s="19" t="inlineStr">
        <is>
          <t>2 weeks</t>
        </is>
      </c>
      <c r="G11" s="13" t="inlineStr">
        <is>
          <t>High</t>
        </is>
      </c>
    </row>
    <row r="12" ht="32" customHeight="1">
      <c r="A12" s="19" t="inlineStr">
        <is>
          <t>G09</t>
        </is>
      </c>
      <c r="B12" s="19" t="inlineStr">
        <is>
          <t>Mobile training attendance with geotag + AM/PM</t>
        </is>
      </c>
      <c r="C12" s="19" t="inlineStr">
        <is>
          <t>L&amp;D + Mobile</t>
        </is>
      </c>
      <c r="D12" s="19" t="inlineStr">
        <is>
          <t>mobile app</t>
        </is>
      </c>
      <c r="E12" s="19" t="inlineStr">
        <is>
          <t>Medium</t>
        </is>
      </c>
      <c r="F12" s="19" t="inlineStr">
        <is>
          <t>3 weeks</t>
        </is>
      </c>
      <c r="G12" s="13" t="inlineStr">
        <is>
          <t>High</t>
        </is>
      </c>
    </row>
    <row r="13" ht="32" customHeight="1">
      <c r="A13" s="19" t="inlineStr">
        <is>
          <t>G10</t>
        </is>
      </c>
      <c r="B13" s="19" t="inlineStr">
        <is>
          <t>Training Narrative Report Form</t>
        </is>
      </c>
      <c r="C13" s="19" t="inlineStr">
        <is>
          <t>L&amp;D</t>
        </is>
      </c>
      <c r="D13" s="19" t="inlineStr">
        <is>
          <t>/learning/narrative-report</t>
        </is>
      </c>
      <c r="E13" s="19" t="inlineStr">
        <is>
          <t>Small</t>
        </is>
      </c>
      <c r="F13" s="19" t="inlineStr">
        <is>
          <t>1 week</t>
        </is>
      </c>
      <c r="G13" s="12" t="inlineStr">
        <is>
          <t>Medium</t>
        </is>
      </c>
    </row>
    <row r="14" ht="32" customHeight="1">
      <c r="A14" s="19" t="inlineStr">
        <is>
          <t>G11</t>
        </is>
      </c>
      <c r="B14" s="19" t="inlineStr">
        <is>
          <t>Loyalty Award auto-memo generator</t>
        </is>
      </c>
      <c r="C14" s="19" t="inlineStr">
        <is>
          <t>R&amp;R + DMS</t>
        </is>
      </c>
      <c r="D14" s="19" t="inlineStr">
        <is>
          <t>/dms/certificate-types (Loyalty)</t>
        </is>
      </c>
      <c r="E14" s="19" t="inlineStr">
        <is>
          <t>Small</t>
        </is>
      </c>
      <c r="F14" s="19" t="inlineStr">
        <is>
          <t>1 week</t>
        </is>
      </c>
      <c r="G14" s="12" t="inlineStr">
        <is>
          <t>Medium</t>
        </is>
      </c>
    </row>
    <row r="15" ht="32" customHeight="1">
      <c r="A15" s="19" t="inlineStr">
        <is>
          <t>G12</t>
        </is>
      </c>
      <c r="B15" s="19" t="inlineStr">
        <is>
          <t>Step Increment tracking &amp; notice</t>
        </is>
      </c>
      <c r="C15" s="19" t="inlineStr">
        <is>
          <t>Core HR + Payroll</t>
        </is>
      </c>
      <c r="D15" s="19" t="inlineStr">
        <is>
          <t>/employees/&lt;id&gt;/step-increment</t>
        </is>
      </c>
      <c r="E15" s="19" t="inlineStr">
        <is>
          <t>Medium</t>
        </is>
      </c>
      <c r="F15" s="19" t="inlineStr">
        <is>
          <t>2 weeks</t>
        </is>
      </c>
      <c r="G15" s="13" t="inlineStr">
        <is>
          <t>High</t>
        </is>
      </c>
    </row>
    <row r="16" ht="32" customHeight="1">
      <c r="A16" s="19" t="inlineStr">
        <is>
          <t>G13</t>
        </is>
      </c>
      <c r="B16" s="19" t="inlineStr">
        <is>
          <t>Retirement monitoring &amp; multi-recipient notice</t>
        </is>
      </c>
      <c r="C16" s="19" t="inlineStr">
        <is>
          <t>Core HR + Workflow</t>
        </is>
      </c>
      <c r="D16" s="19" t="inlineStr">
        <is>
          <t>/reports/retirement-due, /workflow</t>
        </is>
      </c>
      <c r="E16" s="19" t="inlineStr">
        <is>
          <t>Medium</t>
        </is>
      </c>
      <c r="F16" s="19" t="inlineStr">
        <is>
          <t>2 weeks</t>
        </is>
      </c>
      <c r="G16" s="13" t="inlineStr">
        <is>
          <t>High</t>
        </is>
      </c>
    </row>
    <row r="17" ht="32" customHeight="1">
      <c r="A17" s="19" t="inlineStr">
        <is>
          <t>G14</t>
        </is>
      </c>
      <c r="B17" s="19" t="inlineStr">
        <is>
          <t>Personal Data Sheet (PDS) — CSC template</t>
        </is>
      </c>
      <c r="C17" s="19" t="inlineStr">
        <is>
          <t>Core HR + DMS</t>
        </is>
      </c>
      <c r="D17" s="19" t="inlineStr">
        <is>
          <t>/employees/&lt;id&gt;/pds</t>
        </is>
      </c>
      <c r="E17" s="19" t="inlineStr">
        <is>
          <t>Medium</t>
        </is>
      </c>
      <c r="F17" s="19" t="inlineStr">
        <is>
          <t>3 weeks</t>
        </is>
      </c>
      <c r="G17" s="13" t="inlineStr">
        <is>
          <t>High</t>
        </is>
      </c>
    </row>
    <row r="18" ht="32" customHeight="1">
      <c r="A18" s="19" t="inlineStr">
        <is>
          <t>G15</t>
        </is>
      </c>
      <c r="B18" s="19" t="inlineStr">
        <is>
          <t>CSC Eligibility 1st/2nd Level reporting</t>
        </is>
      </c>
      <c r="C18" s="19" t="inlineStr">
        <is>
          <t>Core HR + Analytics</t>
        </is>
      </c>
      <c r="D18" s="19" t="inlineStr">
        <is>
          <t>/reports/eligibility</t>
        </is>
      </c>
      <c r="E18" s="19" t="inlineStr">
        <is>
          <t>Small</t>
        </is>
      </c>
      <c r="F18" s="19" t="inlineStr">
        <is>
          <t>1 week</t>
        </is>
      </c>
      <c r="G18" s="13" t="inlineStr">
        <is>
          <t>High</t>
        </is>
      </c>
    </row>
    <row r="19" ht="32" customHeight="1">
      <c r="A19" s="19" t="inlineStr">
        <is>
          <t>G16</t>
        </is>
      </c>
      <c r="B19" s="19" t="inlineStr">
        <is>
          <t>SALN PDF generation</t>
        </is>
      </c>
      <c r="C19" s="19" t="inlineStr">
        <is>
          <t>DMS</t>
        </is>
      </c>
      <c r="D19" s="19" t="inlineStr">
        <is>
          <t>/me/certificates (SALN template)</t>
        </is>
      </c>
      <c r="E19" s="19" t="inlineStr">
        <is>
          <t>Medium</t>
        </is>
      </c>
      <c r="F19" s="19" t="inlineStr">
        <is>
          <t>2 weeks</t>
        </is>
      </c>
      <c r="G19" s="13" t="inlineStr">
        <is>
          <t>High</t>
        </is>
      </c>
    </row>
    <row r="20" ht="32" customHeight="1">
      <c r="A20" s="19" t="inlineStr">
        <is>
          <t>G17</t>
        </is>
      </c>
      <c r="B20" s="19" t="inlineStr">
        <is>
          <t>Appointment PDF generation</t>
        </is>
      </c>
      <c r="C20" s="19" t="inlineStr">
        <is>
          <t>DMS</t>
        </is>
      </c>
      <c r="D20" s="19" t="inlineStr">
        <is>
          <t>/me/certificates (Appointment template)</t>
        </is>
      </c>
      <c r="E20" s="19" t="inlineStr">
        <is>
          <t>Small</t>
        </is>
      </c>
      <c r="F20" s="19" t="inlineStr">
        <is>
          <t>1 week</t>
        </is>
      </c>
      <c r="G20" s="13" t="inlineStr">
        <is>
          <t>High</t>
        </is>
      </c>
    </row>
    <row r="21" ht="32" customHeight="1">
      <c r="A21" s="19" t="inlineStr">
        <is>
          <t>G18</t>
        </is>
      </c>
      <c r="B21" s="19" t="inlineStr">
        <is>
          <t>Attrition risk scoring model</t>
        </is>
      </c>
      <c r="C21" s="19" t="inlineStr">
        <is>
          <t>AI + Analytics</t>
        </is>
      </c>
      <c r="D21" s="19" t="inlineStr">
        <is>
          <t>/ai/insights</t>
        </is>
      </c>
      <c r="E21" s="19" t="inlineStr">
        <is>
          <t>Medium</t>
        </is>
      </c>
      <c r="F21" s="19" t="inlineStr">
        <is>
          <t>3 weeks</t>
        </is>
      </c>
      <c r="G21" s="12" t="inlineStr">
        <is>
          <t>Medium</t>
        </is>
      </c>
    </row>
    <row r="22">
      <c r="A22" s="20" t="inlineStr">
        <is>
          <t>Totals</t>
        </is>
      </c>
      <c r="B22" s="20">
        <f>COUNTA(A4:A21) &amp; " items"</f>
        <v/>
      </c>
      <c r="E22" s="20" t="inlineStr">
        <is>
          <t>Small: 6 / Medium: 10 / Large: 2</t>
        </is>
      </c>
      <c r="G22" s="20" t="inlineStr">
        <is>
          <t>High: 15 / Med: 3</t>
        </is>
      </c>
    </row>
  </sheetData>
  <autoFilter ref="A3:G2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70" customWidth="1" min="4" max="4"/>
  </cols>
  <sheetData>
    <row r="1">
      <c r="A1" s="1" t="inlineStr">
        <is>
          <t>Partial Refinements — Configuration &amp; Minor Build Tasks</t>
        </is>
      </c>
    </row>
    <row r="3">
      <c r="A3" s="5" t="inlineStr">
        <is>
          <t>ID</t>
        </is>
      </c>
      <c r="B3" s="5" t="inlineStr">
        <is>
          <t>Refinement</t>
        </is>
      </c>
      <c r="C3" s="5" t="inlineStr">
        <is>
          <t>Target Module</t>
        </is>
      </c>
      <c r="D3" s="5" t="inlineStr">
        <is>
          <t>Action</t>
        </is>
      </c>
    </row>
    <row r="4" ht="30" customHeight="1">
      <c r="A4" s="19" t="inlineStr">
        <is>
          <t>P01</t>
        </is>
      </c>
      <c r="B4" s="19" t="inlineStr">
        <is>
          <t>Seed CTO as leave type</t>
        </is>
      </c>
      <c r="C4" s="19" t="inlineStr">
        <is>
          <t>Leave</t>
        </is>
      </c>
      <c r="D4" s="19" t="inlineStr">
        <is>
          <t>Admin → Reference → lv_types → add CTO with OT accrual</t>
        </is>
      </c>
    </row>
    <row r="5" ht="30" customHeight="1">
      <c r="A5" s="19" t="inlineStr">
        <is>
          <t>P02</t>
        </is>
      </c>
      <c r="B5" s="19" t="inlineStr">
        <is>
          <t>IPCR / OPCR templates</t>
        </is>
      </c>
      <c r="C5" s="19" t="inlineStr">
        <is>
          <t>PM</t>
        </is>
      </c>
      <c r="D5" s="19" t="inlineStr">
        <is>
          <t>Add templates to performance review cycles</t>
        </is>
      </c>
    </row>
    <row r="6" ht="30" customHeight="1">
      <c r="A6" s="19" t="inlineStr">
        <is>
          <t>P03</t>
        </is>
      </c>
      <c r="B6" s="19" t="inlineStr">
        <is>
          <t>Job Portal posting integration</t>
        </is>
      </c>
      <c r="C6" s="19" t="inlineStr">
        <is>
          <t>RSP</t>
        </is>
      </c>
      <c r="D6" s="19" t="inlineStr">
        <is>
          <t>Add posting webhooks to 3rd-party job portals</t>
        </is>
      </c>
    </row>
    <row r="7" ht="30" customHeight="1">
      <c r="A7" s="19" t="inlineStr">
        <is>
          <t>P04</t>
        </is>
      </c>
      <c r="B7" s="19" t="inlineStr">
        <is>
          <t>Successor slate UI</t>
        </is>
      </c>
      <c r="C7" s="19" t="inlineStr">
        <is>
          <t>PM</t>
        </is>
      </c>
      <c r="D7" s="19" t="inlineStr">
        <is>
          <t>New tab on /performance showing critical roles + slate</t>
        </is>
      </c>
    </row>
    <row r="8" ht="30" customHeight="1">
      <c r="A8" s="19" t="inlineStr">
        <is>
          <t>P05</t>
        </is>
      </c>
      <c r="B8" s="19" t="inlineStr">
        <is>
          <t>CSC-specific employment types (JO, COS)</t>
        </is>
      </c>
      <c r="C8" s="19" t="inlineStr">
        <is>
          <t>Core HR</t>
        </is>
      </c>
      <c r="D8" s="19" t="inlineStr">
        <is>
          <t>Reference → employment_types → add JO, COS</t>
        </is>
      </c>
    </row>
    <row r="9" ht="30" customHeight="1">
      <c r="A9" s="19" t="inlineStr">
        <is>
          <t>P06</t>
        </is>
      </c>
      <c r="B9" s="19" t="inlineStr">
        <is>
          <t>Rank classification on positions</t>
        </is>
      </c>
      <c r="C9" s="19" t="inlineStr">
        <is>
          <t>Core HR</t>
        </is>
      </c>
      <c r="D9" s="19" t="inlineStr">
        <is>
          <t>Add rank_classification column to core.positions</t>
        </is>
      </c>
    </row>
    <row r="10" ht="30" customHeight="1">
      <c r="A10" s="19" t="inlineStr">
        <is>
          <t>P07</t>
        </is>
      </c>
      <c r="B10" s="19" t="inlineStr">
        <is>
          <t>Education bucket config per CSC</t>
        </is>
      </c>
      <c r="C10" s="19" t="inlineStr">
        <is>
          <t>Core HR</t>
        </is>
      </c>
      <c r="D10" s="19" t="inlineStr">
        <is>
          <t>Normalize education_level values; add report buckets</t>
        </is>
      </c>
    </row>
    <row r="11" ht="30" customHeight="1">
      <c r="A11" s="19" t="inlineStr">
        <is>
          <t>P08</t>
        </is>
      </c>
      <c r="B11" s="19" t="inlineStr">
        <is>
          <t>Plantilla Summary by gender</t>
        </is>
      </c>
      <c r="C11" s="19" t="inlineStr">
        <is>
          <t>Workforce Planning</t>
        </is>
      </c>
      <c r="D11" s="19" t="inlineStr">
        <is>
          <t>Extend existing scenario report with gender split</t>
        </is>
      </c>
    </row>
    <row r="12" ht="30" customHeight="1">
      <c r="A12" s="19" t="inlineStr">
        <is>
          <t>P09</t>
        </is>
      </c>
      <c r="B12" s="19" t="inlineStr">
        <is>
          <t>Next-in-rank auto notification on vacancy</t>
        </is>
      </c>
      <c r="C12" s="19" t="inlineStr">
        <is>
          <t>RSP + Reminders</t>
        </is>
      </c>
      <c r="D12" s="19" t="inlineStr">
        <is>
          <t>Add rank-based rule to reminder engine</t>
        </is>
      </c>
    </row>
    <row r="13" ht="30" customHeight="1">
      <c r="A13" s="19" t="inlineStr">
        <is>
          <t>P10</t>
        </is>
      </c>
      <c r="B13" s="19" t="inlineStr">
        <is>
          <t>Retention policy: 5 years for recruitment docs</t>
        </is>
      </c>
      <c r="C13" s="19" t="inlineStr">
        <is>
          <t>DMS</t>
        </is>
      </c>
      <c r="D13" s="19" t="inlineStr">
        <is>
          <t>Set retention_policies for Recruitment category</t>
        </is>
      </c>
    </row>
    <row r="14" ht="30" customHeight="1">
      <c r="A14" s="19" t="inlineStr">
        <is>
          <t>P11</t>
        </is>
      </c>
      <c r="B14" s="19" t="inlineStr">
        <is>
          <t>SMTP email delivery for reports/reminders</t>
        </is>
      </c>
      <c r="C14" s="19" t="inlineStr">
        <is>
          <t>Reminders</t>
        </is>
      </c>
      <c r="D14" s="19" t="inlineStr">
        <is>
          <t>Configure SMTP_HOST, SMTP_USER, SMTP_PASS in .env</t>
        </is>
      </c>
    </row>
    <row r="15" ht="30" customHeight="1">
      <c r="A15" s="19" t="inlineStr">
        <is>
          <t>P12</t>
        </is>
      </c>
      <c r="B15" s="19" t="inlineStr">
        <is>
          <t>Disk encryption + TLS proxy</t>
        </is>
      </c>
      <c r="C15" s="19" t="inlineStr">
        <is>
          <t>Infrastructure</t>
        </is>
      </c>
      <c r="D15" s="19" t="inlineStr">
        <is>
          <t>Deploy behind nginx/Caddy with LE certs; LUKS on host</t>
        </is>
      </c>
    </row>
    <row r="16" ht="30" customHeight="1">
      <c r="A16" s="19" t="inlineStr">
        <is>
          <t>P13</t>
        </is>
      </c>
      <c r="B16" s="19" t="inlineStr">
        <is>
          <t>Scheduled archival of off-boarded employees</t>
        </is>
      </c>
      <c r="C16" s="19" t="inlineStr">
        <is>
          <t>DMS</t>
        </is>
      </c>
      <c r="D16" s="19" t="inlineStr">
        <is>
          <t>Cron job for retention_policies execution</t>
        </is>
      </c>
    </row>
    <row r="17" ht="30" customHeight="1">
      <c r="A17" s="19" t="inlineStr">
        <is>
          <t>P14</t>
        </is>
      </c>
      <c r="B17" s="19" t="inlineStr">
        <is>
          <t>Drag-drop report builder UI</t>
        </is>
      </c>
      <c r="C17" s="19" t="inlineStr">
        <is>
          <t>Analytics</t>
        </is>
      </c>
      <c r="D17" s="19" t="inlineStr">
        <is>
          <t>Upgrade /reports with drag-drop canvas</t>
        </is>
      </c>
    </row>
    <row r="18" ht="30" customHeight="1">
      <c r="A18" s="19" t="inlineStr">
        <is>
          <t>P15</t>
        </is>
      </c>
      <c r="B18" s="19" t="inlineStr">
        <is>
          <t>Chatbot conversational UI</t>
        </is>
      </c>
      <c r="C18" s="19" t="inlineStr">
        <is>
          <t>AI</t>
        </is>
      </c>
      <c r="D18" s="19" t="inlineStr">
        <is>
          <t>Wrap existing AI endpoints with chat UI</t>
        </is>
      </c>
    </row>
    <row r="19" ht="30" customHeight="1">
      <c r="A19" s="19" t="inlineStr">
        <is>
          <t>P16</t>
        </is>
      </c>
      <c r="B19" s="19" t="inlineStr">
        <is>
          <t>Drag-drop org chart editing</t>
        </is>
      </c>
      <c r="C19" s="19" t="inlineStr">
        <is>
          <t>Orgchart</t>
        </is>
      </c>
      <c r="D19" s="19" t="inlineStr">
        <is>
          <t>Enable node-drop reassignment on /orgchart</t>
        </is>
      </c>
    </row>
    <row r="20" ht="30" customHeight="1">
      <c r="A20" s="19" t="inlineStr">
        <is>
          <t>P17</t>
        </is>
      </c>
      <c r="B20" s="19" t="inlineStr">
        <is>
          <t>Next-of-kin/rank notification for vacancies</t>
        </is>
      </c>
      <c r="C20" s="19" t="inlineStr">
        <is>
          <t>RSP</t>
        </is>
      </c>
      <c r="D20" s="19" t="inlineStr">
        <is>
          <t>Configure reminder rule</t>
        </is>
      </c>
    </row>
    <row r="21" ht="30" customHeight="1">
      <c r="A21" s="19" t="inlineStr">
        <is>
          <t>P18</t>
        </is>
      </c>
      <c r="B21" s="19" t="inlineStr">
        <is>
          <t>Mobile responsive enhancements</t>
        </is>
      </c>
      <c r="C21" s="19" t="inlineStr">
        <is>
          <t>UI</t>
        </is>
      </c>
      <c r="D21" s="19" t="inlineStr">
        <is>
          <t>Audit each /me page for &lt;640px viewports</t>
        </is>
      </c>
    </row>
    <row r="22" ht="30" customHeight="1">
      <c r="A22" s="19" t="inlineStr">
        <is>
          <t>P19</t>
        </is>
      </c>
      <c r="B22" s="19" t="inlineStr">
        <is>
          <t>COE and Service Record HTML-to-PDF templates</t>
        </is>
      </c>
      <c r="C22" s="19" t="inlineStr">
        <is>
          <t>DMS</t>
        </is>
      </c>
      <c r="D22" s="19" t="inlineStr">
        <is>
          <t>Add CSC-aligned certificate templates</t>
        </is>
      </c>
    </row>
    <row r="23" ht="30" customHeight="1">
      <c r="A23" s="19" t="inlineStr">
        <is>
          <t>P20</t>
        </is>
      </c>
      <c r="B23" s="19" t="inlineStr">
        <is>
          <t>Retirement rules seeding (60 early, 65 mandatory)</t>
        </is>
      </c>
      <c r="C23" s="19" t="inlineStr">
        <is>
          <t>Core HR</t>
        </is>
      </c>
      <c r="D23" s="19" t="inlineStr">
        <is>
          <t>New reference table + age check on demographics</t>
        </is>
      </c>
    </row>
  </sheetData>
  <autoFilter ref="A3:D2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Coverage by HCM360 Module</t>
        </is>
      </c>
    </row>
    <row r="3">
      <c r="A3" s="5" t="inlineStr">
        <is>
          <t>Module</t>
        </is>
      </c>
      <c r="B3" s="5" t="inlineStr">
        <is>
          <t>COVERED</t>
        </is>
      </c>
      <c r="C3" s="5" t="inlineStr">
        <is>
          <t>PARTIAL</t>
        </is>
      </c>
      <c r="D3" s="5" t="inlineStr">
        <is>
          <t>GAP</t>
        </is>
      </c>
      <c r="E3" s="5" t="inlineStr">
        <is>
          <t>Total</t>
        </is>
      </c>
      <c r="F3" s="5" t="inlineStr">
        <is>
          <t>Coverage %</t>
        </is>
      </c>
    </row>
    <row r="4">
      <c r="A4" s="9" t="inlineStr">
        <is>
          <t>Core HR</t>
        </is>
      </c>
      <c r="B4" s="21">
        <f>COUNTIFS('Full Matrix'!D:D,"*"&amp;A4&amp;"*",'Full Matrix'!C:C,"COVERED")</f>
        <v/>
      </c>
      <c r="C4" s="22">
        <f>COUNTIFS('Full Matrix'!D:D,"*"&amp;A4&amp;"*",'Full Matrix'!C:C,"PARTIAL")</f>
        <v/>
      </c>
      <c r="D4" s="23">
        <f>COUNTIFS('Full Matrix'!D:D,"*"&amp;A4&amp;"*",'Full Matrix'!C:C,"GAP")</f>
        <v/>
      </c>
      <c r="E4" s="15">
        <f>SUM(B4:D4)</f>
        <v/>
      </c>
      <c r="F4" s="8">
        <f>IF(E4=0,0,B4/E4)</f>
        <v/>
      </c>
    </row>
    <row r="5">
      <c r="A5" s="9" t="inlineStr">
        <is>
          <t>Attendance</t>
        </is>
      </c>
      <c r="B5" s="21">
        <f>COUNTIFS('Full Matrix'!D:D,"*"&amp;A5&amp;"*",'Full Matrix'!C:C,"COVERED")</f>
        <v/>
      </c>
      <c r="C5" s="22">
        <f>COUNTIFS('Full Matrix'!D:D,"*"&amp;A5&amp;"*",'Full Matrix'!C:C,"PARTIAL")</f>
        <v/>
      </c>
      <c r="D5" s="23">
        <f>COUNTIFS('Full Matrix'!D:D,"*"&amp;A5&amp;"*",'Full Matrix'!C:C,"GAP")</f>
        <v/>
      </c>
      <c r="E5" s="15">
        <f>SUM(B5:D5)</f>
        <v/>
      </c>
      <c r="F5" s="8">
        <f>IF(E5=0,0,B5/E5)</f>
        <v/>
      </c>
    </row>
    <row r="6">
      <c r="A6" s="9" t="inlineStr">
        <is>
          <t>Leave Management</t>
        </is>
      </c>
      <c r="B6" s="21">
        <f>COUNTIFS('Full Matrix'!D:D,"*"&amp;A6&amp;"*",'Full Matrix'!C:C,"COVERED")</f>
        <v/>
      </c>
      <c r="C6" s="22">
        <f>COUNTIFS('Full Matrix'!D:D,"*"&amp;A6&amp;"*",'Full Matrix'!C:C,"PARTIAL")</f>
        <v/>
      </c>
      <c r="D6" s="23">
        <f>COUNTIFS('Full Matrix'!D:D,"*"&amp;A6&amp;"*",'Full Matrix'!C:C,"GAP")</f>
        <v/>
      </c>
      <c r="E6" s="15">
        <f>SUM(B6:D6)</f>
        <v/>
      </c>
      <c r="F6" s="8">
        <f>IF(E6=0,0,B6/E6)</f>
        <v/>
      </c>
    </row>
    <row r="7">
      <c r="A7" s="9" t="inlineStr">
        <is>
          <t>Payroll</t>
        </is>
      </c>
      <c r="B7" s="21">
        <f>COUNTIFS('Full Matrix'!D:D,"*"&amp;A7&amp;"*",'Full Matrix'!C:C,"COVERED")</f>
        <v/>
      </c>
      <c r="C7" s="22">
        <f>COUNTIFS('Full Matrix'!D:D,"*"&amp;A7&amp;"*",'Full Matrix'!C:C,"PARTIAL")</f>
        <v/>
      </c>
      <c r="D7" s="23">
        <f>COUNTIFS('Full Matrix'!D:D,"*"&amp;A7&amp;"*",'Full Matrix'!C:C,"GAP")</f>
        <v/>
      </c>
      <c r="E7" s="15">
        <f>SUM(B7:D7)</f>
        <v/>
      </c>
      <c r="F7" s="8">
        <f>IF(E7=0,0,B7/E7)</f>
        <v/>
      </c>
    </row>
    <row r="8">
      <c r="A8" s="9" t="inlineStr">
        <is>
          <t>Recruitment</t>
        </is>
      </c>
      <c r="B8" s="21">
        <f>COUNTIFS('Full Matrix'!D:D,"*"&amp;A8&amp;"*",'Full Matrix'!C:C,"COVERED")</f>
        <v/>
      </c>
      <c r="C8" s="22">
        <f>COUNTIFS('Full Matrix'!D:D,"*"&amp;A8&amp;"*",'Full Matrix'!C:C,"PARTIAL")</f>
        <v/>
      </c>
      <c r="D8" s="23">
        <f>COUNTIFS('Full Matrix'!D:D,"*"&amp;A8&amp;"*",'Full Matrix'!C:C,"GAP")</f>
        <v/>
      </c>
      <c r="E8" s="15">
        <f>SUM(B8:D8)</f>
        <v/>
      </c>
      <c r="F8" s="8">
        <f>IF(E8=0,0,B8/E8)</f>
        <v/>
      </c>
    </row>
    <row r="9">
      <c r="A9" s="9" t="inlineStr">
        <is>
          <t>Performance Management</t>
        </is>
      </c>
      <c r="B9" s="21">
        <f>COUNTIFS('Full Matrix'!D:D,"*"&amp;A9&amp;"*",'Full Matrix'!C:C,"COVERED")</f>
        <v/>
      </c>
      <c r="C9" s="22">
        <f>COUNTIFS('Full Matrix'!D:D,"*"&amp;A9&amp;"*",'Full Matrix'!C:C,"PARTIAL")</f>
        <v/>
      </c>
      <c r="D9" s="23">
        <f>COUNTIFS('Full Matrix'!D:D,"*"&amp;A9&amp;"*",'Full Matrix'!C:C,"GAP")</f>
        <v/>
      </c>
      <c r="E9" s="15">
        <f>SUM(B9:D9)</f>
        <v/>
      </c>
      <c r="F9" s="8">
        <f>IF(E9=0,0,B9/E9)</f>
        <v/>
      </c>
    </row>
    <row r="10">
      <c r="A10" s="9" t="inlineStr">
        <is>
          <t>Learning &amp; Development</t>
        </is>
      </c>
      <c r="B10" s="21">
        <f>COUNTIFS('Full Matrix'!D:D,"*"&amp;A10&amp;"*",'Full Matrix'!C:C,"COVERED")</f>
        <v/>
      </c>
      <c r="C10" s="22">
        <f>COUNTIFS('Full Matrix'!D:D,"*"&amp;A10&amp;"*",'Full Matrix'!C:C,"PARTIAL")</f>
        <v/>
      </c>
      <c r="D10" s="23">
        <f>COUNTIFS('Full Matrix'!D:D,"*"&amp;A10&amp;"*",'Full Matrix'!C:C,"GAP")</f>
        <v/>
      </c>
      <c r="E10" s="15">
        <f>SUM(B10:D10)</f>
        <v/>
      </c>
      <c r="F10" s="8">
        <f>IF(E10=0,0,B10/E10)</f>
        <v/>
      </c>
    </row>
    <row r="11">
      <c r="A11" s="9" t="inlineStr">
        <is>
          <t>Rewards &amp; Recognition</t>
        </is>
      </c>
      <c r="B11" s="21">
        <f>COUNTIFS('Full Matrix'!D:D,"*"&amp;A11&amp;"*",'Full Matrix'!C:C,"COVERED")</f>
        <v/>
      </c>
      <c r="C11" s="22">
        <f>COUNTIFS('Full Matrix'!D:D,"*"&amp;A11&amp;"*",'Full Matrix'!C:C,"PARTIAL")</f>
        <v/>
      </c>
      <c r="D11" s="23">
        <f>COUNTIFS('Full Matrix'!D:D,"*"&amp;A11&amp;"*",'Full Matrix'!C:C,"GAP")</f>
        <v/>
      </c>
      <c r="E11" s="15">
        <f>SUM(B11:D11)</f>
        <v/>
      </c>
      <c r="F11" s="8">
        <f>IF(E11=0,0,B11/E11)</f>
        <v/>
      </c>
    </row>
    <row r="12">
      <c r="A12" s="9" t="inlineStr">
        <is>
          <t>DMS</t>
        </is>
      </c>
      <c r="B12" s="21">
        <f>COUNTIFS('Full Matrix'!D:D,"*"&amp;A12&amp;"*",'Full Matrix'!C:C,"COVERED")</f>
        <v/>
      </c>
      <c r="C12" s="22">
        <f>COUNTIFS('Full Matrix'!D:D,"*"&amp;A12&amp;"*",'Full Matrix'!C:C,"PARTIAL")</f>
        <v/>
      </c>
      <c r="D12" s="23">
        <f>COUNTIFS('Full Matrix'!D:D,"*"&amp;A12&amp;"*",'Full Matrix'!C:C,"GAP")</f>
        <v/>
      </c>
      <c r="E12" s="15">
        <f>SUM(B12:D12)</f>
        <v/>
      </c>
      <c r="F12" s="8">
        <f>IF(E12=0,0,B12/E12)</f>
        <v/>
      </c>
    </row>
    <row r="13">
      <c r="A13" s="9" t="inlineStr">
        <is>
          <t>Workforce Planning</t>
        </is>
      </c>
      <c r="B13" s="21">
        <f>COUNTIFS('Full Matrix'!D:D,"*"&amp;A13&amp;"*",'Full Matrix'!C:C,"COVERED")</f>
        <v/>
      </c>
      <c r="C13" s="22">
        <f>COUNTIFS('Full Matrix'!D:D,"*"&amp;A13&amp;"*",'Full Matrix'!C:C,"PARTIAL")</f>
        <v/>
      </c>
      <c r="D13" s="23">
        <f>COUNTIFS('Full Matrix'!D:D,"*"&amp;A13&amp;"*",'Full Matrix'!C:C,"GAP")</f>
        <v/>
      </c>
      <c r="E13" s="15">
        <f>SUM(B13:D13)</f>
        <v/>
      </c>
      <c r="F13" s="8">
        <f>IF(E13=0,0,B13/E13)</f>
        <v/>
      </c>
    </row>
    <row r="14">
      <c r="A14" s="9" t="inlineStr">
        <is>
          <t>Analytics</t>
        </is>
      </c>
      <c r="B14" s="21">
        <f>COUNTIFS('Full Matrix'!D:D,"*"&amp;A14&amp;"*",'Full Matrix'!C:C,"COVERED")</f>
        <v/>
      </c>
      <c r="C14" s="22">
        <f>COUNTIFS('Full Matrix'!D:D,"*"&amp;A14&amp;"*",'Full Matrix'!C:C,"PARTIAL")</f>
        <v/>
      </c>
      <c r="D14" s="23">
        <f>COUNTIFS('Full Matrix'!D:D,"*"&amp;A14&amp;"*",'Full Matrix'!C:C,"GAP")</f>
        <v/>
      </c>
      <c r="E14" s="15">
        <f>SUM(B14:D14)</f>
        <v/>
      </c>
      <c r="F14" s="8">
        <f>IF(E14=0,0,B14/E14)</f>
        <v/>
      </c>
    </row>
    <row r="15">
      <c r="A15" s="9" t="inlineStr">
        <is>
          <t>ESS</t>
        </is>
      </c>
      <c r="B15" s="21">
        <f>COUNTIFS('Full Matrix'!D:D,"*"&amp;A15&amp;"*",'Full Matrix'!C:C,"COVERED")</f>
        <v/>
      </c>
      <c r="C15" s="22">
        <f>COUNTIFS('Full Matrix'!D:D,"*"&amp;A15&amp;"*",'Full Matrix'!C:C,"PARTIAL")</f>
        <v/>
      </c>
      <c r="D15" s="23">
        <f>COUNTIFS('Full Matrix'!D:D,"*"&amp;A15&amp;"*",'Full Matrix'!C:C,"GAP")</f>
        <v/>
      </c>
      <c r="E15" s="15">
        <f>SUM(B15:D15)</f>
        <v/>
      </c>
      <c r="F15" s="8">
        <f>IF(E15=0,0,B15/E15)</f>
        <v/>
      </c>
    </row>
    <row r="16">
      <c r="A16" s="9" t="inlineStr">
        <is>
          <t>MSS</t>
        </is>
      </c>
      <c r="B16" s="21">
        <f>COUNTIFS('Full Matrix'!D:D,"*"&amp;A16&amp;"*",'Full Matrix'!C:C,"COVERED")</f>
        <v/>
      </c>
      <c r="C16" s="22">
        <f>COUNTIFS('Full Matrix'!D:D,"*"&amp;A16&amp;"*",'Full Matrix'!C:C,"PARTIAL")</f>
        <v/>
      </c>
      <c r="D16" s="23">
        <f>COUNTIFS('Full Matrix'!D:D,"*"&amp;A16&amp;"*",'Full Matrix'!C:C,"GAP")</f>
        <v/>
      </c>
      <c r="E16" s="15">
        <f>SUM(B16:D16)</f>
        <v/>
      </c>
      <c r="F16" s="8">
        <f>IF(E16=0,0,B16/E16)</f>
        <v/>
      </c>
    </row>
    <row r="17">
      <c r="A17" s="9" t="inlineStr">
        <is>
          <t>AI</t>
        </is>
      </c>
      <c r="B17" s="21">
        <f>COUNTIFS('Full Matrix'!D:D,"*"&amp;A17&amp;"*",'Full Matrix'!C:C,"COVERED")</f>
        <v/>
      </c>
      <c r="C17" s="22">
        <f>COUNTIFS('Full Matrix'!D:D,"*"&amp;A17&amp;"*",'Full Matrix'!C:C,"PARTIAL")</f>
        <v/>
      </c>
      <c r="D17" s="23">
        <f>COUNTIFS('Full Matrix'!D:D,"*"&amp;A17&amp;"*",'Full Matrix'!C:C,"GAP")</f>
        <v/>
      </c>
      <c r="E17" s="15">
        <f>SUM(B17:D17)</f>
        <v/>
      </c>
      <c r="F17" s="8">
        <f>IF(E17=0,0,B17/E17)</f>
        <v/>
      </c>
    </row>
    <row r="18">
      <c r="A18" s="9" t="inlineStr">
        <is>
          <t>Orgchart</t>
        </is>
      </c>
      <c r="B18" s="21">
        <f>COUNTIFS('Full Matrix'!D:D,"*"&amp;A18&amp;"*",'Full Matrix'!C:C,"COVERED")</f>
        <v/>
      </c>
      <c r="C18" s="22">
        <f>COUNTIFS('Full Matrix'!D:D,"*"&amp;A18&amp;"*",'Full Matrix'!C:C,"PARTIAL")</f>
        <v/>
      </c>
      <c r="D18" s="23">
        <f>COUNTIFS('Full Matrix'!D:D,"*"&amp;A18&amp;"*",'Full Matrix'!C:C,"GAP")</f>
        <v/>
      </c>
      <c r="E18" s="15">
        <f>SUM(B18:D18)</f>
        <v/>
      </c>
      <c r="F18" s="8">
        <f>IF(E18=0,0,B18/E18)</f>
        <v/>
      </c>
    </row>
    <row r="19">
      <c r="A19" s="9" t="inlineStr">
        <is>
          <t>Access Service</t>
        </is>
      </c>
      <c r="B19" s="21">
        <f>COUNTIFS('Full Matrix'!D:D,"*"&amp;A19&amp;"*",'Full Matrix'!C:C,"COVERED")</f>
        <v/>
      </c>
      <c r="C19" s="22">
        <f>COUNTIFS('Full Matrix'!D:D,"*"&amp;A19&amp;"*",'Full Matrix'!C:C,"PARTIAL")</f>
        <v/>
      </c>
      <c r="D19" s="23">
        <f>COUNTIFS('Full Matrix'!D:D,"*"&amp;A19&amp;"*",'Full Matrix'!C:C,"GAP")</f>
        <v/>
      </c>
      <c r="E19" s="15">
        <f>SUM(B19:D19)</f>
        <v/>
      </c>
      <c r="F19" s="8">
        <f>IF(E19=0,0,B19/E19)</f>
        <v/>
      </c>
    </row>
    <row r="20">
      <c r="A20" s="9" t="inlineStr">
        <is>
          <t>Audit Logs</t>
        </is>
      </c>
      <c r="B20" s="21">
        <f>COUNTIFS('Full Matrix'!D:D,"*"&amp;A20&amp;"*",'Full Matrix'!C:C,"COVERED")</f>
        <v/>
      </c>
      <c r="C20" s="22">
        <f>COUNTIFS('Full Matrix'!D:D,"*"&amp;A20&amp;"*",'Full Matrix'!C:C,"PARTIAL")</f>
        <v/>
      </c>
      <c r="D20" s="23">
        <f>COUNTIFS('Full Matrix'!D:D,"*"&amp;A20&amp;"*",'Full Matrix'!C:C,"GAP")</f>
        <v/>
      </c>
      <c r="E20" s="15">
        <f>SUM(B20:D20)</f>
        <v/>
      </c>
      <c r="F20" s="8">
        <f>IF(E20=0,0,B20/E20)</f>
        <v/>
      </c>
    </row>
    <row r="21">
      <c r="A21" s="9" t="inlineStr">
        <is>
          <t>Infrastructure</t>
        </is>
      </c>
      <c r="B21" s="21">
        <f>COUNTIFS('Full Matrix'!D:D,"*"&amp;A21&amp;"*",'Full Matrix'!C:C,"COVERED")</f>
        <v/>
      </c>
      <c r="C21" s="22">
        <f>COUNTIFS('Full Matrix'!D:D,"*"&amp;A21&amp;"*",'Full Matrix'!C:C,"PARTIAL")</f>
        <v/>
      </c>
      <c r="D21" s="23">
        <f>COUNTIFS('Full Matrix'!D:D,"*"&amp;A21&amp;"*",'Full Matrix'!C:C,"GAP")</f>
        <v/>
      </c>
      <c r="E21" s="15">
        <f>SUM(B21:D21)</f>
        <v/>
      </c>
      <c r="F21" s="8">
        <f>IF(E21=0,0,B21/E21)</f>
        <v/>
      </c>
    </row>
    <row r="22">
      <c r="A22" s="9" t="inlineStr">
        <is>
          <t>Reminders</t>
        </is>
      </c>
      <c r="B22" s="21">
        <f>COUNTIFS('Full Matrix'!D:D,"*"&amp;A22&amp;"*",'Full Matrix'!C:C,"COVERED")</f>
        <v/>
      </c>
      <c r="C22" s="22">
        <f>COUNTIFS('Full Matrix'!D:D,"*"&amp;A22&amp;"*",'Full Matrix'!C:C,"PARTIAL")</f>
        <v/>
      </c>
      <c r="D22" s="23">
        <f>COUNTIFS('Full Matrix'!D:D,"*"&amp;A22&amp;"*",'Full Matrix'!C:C,"GAP")</f>
        <v/>
      </c>
      <c r="E22" s="15">
        <f>SUM(B22:D22)</f>
        <v/>
      </c>
      <c r="F22" s="8">
        <f>IF(E22=0,0,B22/E22)</f>
        <v/>
      </c>
    </row>
    <row r="23">
      <c r="A23" s="9" t="inlineStr">
        <is>
          <t>Privacy</t>
        </is>
      </c>
      <c r="B23" s="21">
        <f>COUNTIFS('Full Matrix'!D:D,"*"&amp;A23&amp;"*",'Full Matrix'!C:C,"COVERED")</f>
        <v/>
      </c>
      <c r="C23" s="22">
        <f>COUNTIFS('Full Matrix'!D:D,"*"&amp;A23&amp;"*",'Full Matrix'!C:C,"PARTIAL")</f>
        <v/>
      </c>
      <c r="D23" s="23">
        <f>COUNTIFS('Full Matrix'!D:D,"*"&amp;A23&amp;"*",'Full Matrix'!C:C,"GAP")</f>
        <v/>
      </c>
      <c r="E23" s="15">
        <f>SUM(B23:D23)</f>
        <v/>
      </c>
      <c r="F23" s="8">
        <f>IF(E23=0,0,B23/E23)</f>
        <v/>
      </c>
    </row>
    <row r="24">
      <c r="A24" s="9" t="inlineStr">
        <is>
          <t>New module</t>
        </is>
      </c>
      <c r="B24" s="21">
        <f>COUNTIFS('Full Matrix'!D:D,"*"&amp;A24&amp;"*",'Full Matrix'!C:C,"COVERED")</f>
        <v/>
      </c>
      <c r="C24" s="22">
        <f>COUNTIFS('Full Matrix'!D:D,"*"&amp;A24&amp;"*",'Full Matrix'!C:C,"PARTIAL")</f>
        <v/>
      </c>
      <c r="D24" s="23">
        <f>COUNTIFS('Full Matrix'!D:D,"*"&amp;A24&amp;"*",'Full Matrix'!C:C,"GAP")</f>
        <v/>
      </c>
      <c r="E24" s="15">
        <f>SUM(B24:D24)</f>
        <v/>
      </c>
      <c r="F24" s="8">
        <f>IF(E24=0,0,B24/E24)</f>
        <v/>
      </c>
    </row>
    <row r="25">
      <c r="A25" s="9" t="inlineStr">
        <is>
          <t>Services</t>
        </is>
      </c>
      <c r="B25" s="21">
        <f>COUNTIFS('Full Matrix'!D:D,"*"&amp;A25&amp;"*",'Full Matrix'!C:C,"COVERED")</f>
        <v/>
      </c>
      <c r="C25" s="22">
        <f>COUNTIFS('Full Matrix'!D:D,"*"&amp;A25&amp;"*",'Full Matrix'!C:C,"PARTIAL")</f>
        <v/>
      </c>
      <c r="D25" s="23">
        <f>COUNTIFS('Full Matrix'!D:D,"*"&amp;A25&amp;"*",'Full Matrix'!C:C,"GAP")</f>
        <v/>
      </c>
      <c r="E25" s="15">
        <f>SUM(B25:D25)</f>
        <v/>
      </c>
      <c r="F25" s="8">
        <f>IF(E25=0,0,B25/E25)</f>
        <v/>
      </c>
    </row>
    <row r="26">
      <c r="A26" s="9" t="inlineStr">
        <is>
          <t>Onboarding</t>
        </is>
      </c>
      <c r="B26" s="21">
        <f>COUNTIFS('Full Matrix'!D:D,"*"&amp;A26&amp;"*",'Full Matrix'!C:C,"COVERED")</f>
        <v/>
      </c>
      <c r="C26" s="22">
        <f>COUNTIFS('Full Matrix'!D:D,"*"&amp;A26&amp;"*",'Full Matrix'!C:C,"PARTIAL")</f>
        <v/>
      </c>
      <c r="D26" s="23">
        <f>COUNTIFS('Full Matrix'!D:D,"*"&amp;A26&amp;"*",'Full Matrix'!C:C,"GAP")</f>
        <v/>
      </c>
      <c r="E26" s="15">
        <f>SUM(B26:D26)</f>
        <v/>
      </c>
      <c r="F26" s="8">
        <f>IF(E26=0,0,B26/E26)</f>
        <v/>
      </c>
    </row>
    <row r="27">
      <c r="A27" s="9" t="inlineStr">
        <is>
          <t>Reporting Service</t>
        </is>
      </c>
      <c r="B27" s="21">
        <f>COUNTIFS('Full Matrix'!D:D,"*"&amp;A27&amp;"*",'Full Matrix'!C:C,"COVERED")</f>
        <v/>
      </c>
      <c r="C27" s="22">
        <f>COUNTIFS('Full Matrix'!D:D,"*"&amp;A27&amp;"*",'Full Matrix'!C:C,"PARTIAL")</f>
        <v/>
      </c>
      <c r="D27" s="23">
        <f>COUNTIFS('Full Matrix'!D:D,"*"&amp;A27&amp;"*",'Full Matrix'!C:C,"GAP")</f>
        <v/>
      </c>
      <c r="E27" s="15">
        <f>SUM(B27:D27)</f>
        <v/>
      </c>
      <c r="F27" s="8">
        <f>IF(E27=0,0,B27/E27)</f>
        <v/>
      </c>
    </row>
    <row r="28">
      <c r="A28" s="9" t="inlineStr">
        <is>
          <t>Admin</t>
        </is>
      </c>
      <c r="B28" s="21">
        <f>COUNTIFS('Full Matrix'!D:D,"*"&amp;A28&amp;"*",'Full Matrix'!C:C,"COVERED")</f>
        <v/>
      </c>
      <c r="C28" s="22">
        <f>COUNTIFS('Full Matrix'!D:D,"*"&amp;A28&amp;"*",'Full Matrix'!C:C,"PARTIAL")</f>
        <v/>
      </c>
      <c r="D28" s="23">
        <f>COUNTIFS('Full Matrix'!D:D,"*"&amp;A28&amp;"*",'Full Matrix'!C:C,"GAP")</f>
        <v/>
      </c>
      <c r="E28" s="15">
        <f>SUM(B28:D28)</f>
        <v/>
      </c>
      <c r="F28" s="8">
        <f>IF(E28=0,0,B28/E28)</f>
        <v/>
      </c>
    </row>
    <row r="29">
      <c r="A29" s="9" t="inlineStr">
        <is>
          <t>UI</t>
        </is>
      </c>
      <c r="B29" s="21">
        <f>COUNTIFS('Full Matrix'!D:D,"*"&amp;A29&amp;"*",'Full Matrix'!C:C,"COVERED")</f>
        <v/>
      </c>
      <c r="C29" s="22">
        <f>COUNTIFS('Full Matrix'!D:D,"*"&amp;A29&amp;"*",'Full Matrix'!C:C,"PARTIAL")</f>
        <v/>
      </c>
      <c r="D29" s="23">
        <f>COUNTIFS('Full Matrix'!D:D,"*"&amp;A29&amp;"*",'Full Matrix'!C:C,"GAP")</f>
        <v/>
      </c>
      <c r="E29" s="15">
        <f>SUM(B29:D29)</f>
        <v/>
      </c>
      <c r="F29" s="8">
        <f>IF(E29=0,0,B29/E29)</f>
        <v/>
      </c>
    </row>
    <row r="30">
      <c r="A30" s="14" t="inlineStr">
        <is>
          <t>ALL MODULES</t>
        </is>
      </c>
      <c r="B30" s="15">
        <f>SUM(B4:B29)</f>
        <v/>
      </c>
      <c r="C30" s="15">
        <f>SUM(C4:C29)</f>
        <v/>
      </c>
      <c r="D30" s="15">
        <f>SUM(D4:D29)</f>
        <v/>
      </c>
      <c r="E30" s="15">
        <f>SUM(E4:E29)</f>
        <v/>
      </c>
      <c r="F30" s="16">
        <f>IF(E30=0,0,B30/E30)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70" customWidth="1" min="4" max="4"/>
  </cols>
  <sheetData>
    <row r="1">
      <c r="A1" s="1" t="inlineStr">
        <is>
          <t>Recommended Phasing for LGU Deployment</t>
        </is>
      </c>
    </row>
    <row r="3">
      <c r="A3" s="5" t="inlineStr">
        <is>
          <t>Phase</t>
        </is>
      </c>
      <c r="B3" s="5" t="inlineStr">
        <is>
          <t>Timeline</t>
        </is>
      </c>
      <c r="C3" s="5" t="inlineStr">
        <is>
          <t>Theme</t>
        </is>
      </c>
      <c r="D3" s="5" t="inlineStr">
        <is>
          <t>Deliverable</t>
        </is>
      </c>
    </row>
    <row r="4" ht="28" customHeight="1">
      <c r="A4" s="24" t="inlineStr">
        <is>
          <t>Phase 1</t>
        </is>
      </c>
      <c r="B4" s="9" t="inlineStr">
        <is>
          <t>Weeks 1-4</t>
        </is>
      </c>
      <c r="C4" s="9" t="inlineStr">
        <is>
          <t>LGU Readiness Baseline</t>
        </is>
      </c>
      <c r="D4" s="9" t="inlineStr">
        <is>
          <t>Configure reference data (CTO, JO, COS, rank classification, retention policies)</t>
        </is>
      </c>
    </row>
    <row r="5" ht="28" customHeight="1">
      <c r="A5" s="24" t="inlineStr">
        <is>
          <t>Phase 1</t>
        </is>
      </c>
      <c r="B5" s="9" t="inlineStr">
        <is>
          <t>Weeks 1-4</t>
        </is>
      </c>
      <c r="C5" s="9" t="inlineStr">
        <is>
          <t>LGU Readiness Baseline</t>
        </is>
      </c>
      <c r="D5" s="9" t="inlineStr">
        <is>
          <t>Wire SMTP for reminders and report delivery</t>
        </is>
      </c>
    </row>
    <row r="6" ht="28" customHeight="1">
      <c r="A6" s="24" t="inlineStr">
        <is>
          <t>Phase 1</t>
        </is>
      </c>
      <c r="B6" s="9" t="inlineStr">
        <is>
          <t>Weeks 1-4</t>
        </is>
      </c>
      <c r="C6" s="9" t="inlineStr">
        <is>
          <t>LGU Readiness Baseline</t>
        </is>
      </c>
      <c r="D6" s="9" t="inlineStr">
        <is>
          <t>Deploy behind TLS reverse proxy with production SECRET_KEY rotation</t>
        </is>
      </c>
    </row>
    <row r="7" ht="28" customHeight="1">
      <c r="A7" s="24" t="inlineStr">
        <is>
          <t>Phase 1</t>
        </is>
      </c>
      <c r="B7" s="9" t="inlineStr">
        <is>
          <t>Weeks 1-4</t>
        </is>
      </c>
      <c r="C7" s="9" t="inlineStr">
        <is>
          <t>LGU Readiness Baseline</t>
        </is>
      </c>
      <c r="D7" s="9" t="inlineStr">
        <is>
          <t>Seed LGU-specific departments, positions, plantilla</t>
        </is>
      </c>
    </row>
    <row r="8" ht="28" customHeight="1">
      <c r="A8" s="24" t="inlineStr">
        <is>
          <t>Phase 1</t>
        </is>
      </c>
      <c r="B8" s="9" t="inlineStr">
        <is>
          <t>Weeks 1-4</t>
        </is>
      </c>
      <c r="C8" s="9" t="inlineStr">
        <is>
          <t>LGU Readiness Baseline</t>
        </is>
      </c>
      <c r="D8" s="9" t="inlineStr">
        <is>
          <t>Train HR administrators on access matrix and privacy rules</t>
        </is>
      </c>
    </row>
    <row r="9" ht="28" customHeight="1">
      <c r="A9" s="25" t="inlineStr">
        <is>
          <t>Phase 2</t>
        </is>
      </c>
      <c r="B9" s="9" t="inlineStr">
        <is>
          <t>Weeks 5-10</t>
        </is>
      </c>
      <c r="C9" s="9" t="inlineStr">
        <is>
          <t>Critical CSC Forms</t>
        </is>
      </c>
      <c r="D9" s="9" t="inlineStr">
        <is>
          <t>CS Form No. 6 leave application (strict)</t>
        </is>
      </c>
    </row>
    <row r="10" ht="28" customHeight="1">
      <c r="A10" s="25" t="inlineStr">
        <is>
          <t>Phase 2</t>
        </is>
      </c>
      <c r="B10" s="9" t="inlineStr">
        <is>
          <t>Weeks 5-10</t>
        </is>
      </c>
      <c r="C10" s="9" t="inlineStr">
        <is>
          <t>Critical CSC Forms</t>
        </is>
      </c>
      <c r="D10" s="9" t="inlineStr">
        <is>
          <t>CS Form No. 7 exit interview</t>
        </is>
      </c>
    </row>
    <row r="11" ht="28" customHeight="1">
      <c r="A11" s="25" t="inlineStr">
        <is>
          <t>Phase 2</t>
        </is>
      </c>
      <c r="B11" s="9" t="inlineStr">
        <is>
          <t>Weeks 5-10</t>
        </is>
      </c>
      <c r="C11" s="9" t="inlineStr">
        <is>
          <t>Critical CSC Forms</t>
        </is>
      </c>
      <c r="D11" s="9" t="inlineStr">
        <is>
          <t>Personal Data Sheet (PDS) with auto-fill</t>
        </is>
      </c>
    </row>
    <row r="12" ht="28" customHeight="1">
      <c r="A12" s="25" t="inlineStr">
        <is>
          <t>Phase 2</t>
        </is>
      </c>
      <c r="B12" s="9" t="inlineStr">
        <is>
          <t>Weeks 5-10</t>
        </is>
      </c>
      <c r="C12" s="9" t="inlineStr">
        <is>
          <t>Critical CSC Forms</t>
        </is>
      </c>
      <c r="D12" s="9" t="inlineStr">
        <is>
          <t>IPCR / OPCR templates for performance reviews</t>
        </is>
      </c>
    </row>
    <row r="13" ht="28" customHeight="1">
      <c r="A13" s="25" t="inlineStr">
        <is>
          <t>Phase 2</t>
        </is>
      </c>
      <c r="B13" s="9" t="inlineStr">
        <is>
          <t>Weeks 5-10</t>
        </is>
      </c>
      <c r="C13" s="9" t="inlineStr">
        <is>
          <t>Critical CSC Forms</t>
        </is>
      </c>
      <c r="D13" s="9" t="inlineStr">
        <is>
          <t>Travel Order + Locator Slip modules</t>
        </is>
      </c>
    </row>
    <row r="14" ht="28" customHeight="1">
      <c r="A14" s="25" t="inlineStr">
        <is>
          <t>Phase 2</t>
        </is>
      </c>
      <c r="B14" s="9" t="inlineStr">
        <is>
          <t>Weeks 5-10</t>
        </is>
      </c>
      <c r="C14" s="9" t="inlineStr">
        <is>
          <t>Critical CSC Forms</t>
        </is>
      </c>
      <c r="D14" s="9" t="inlineStr">
        <is>
          <t>Loyalty Award, Step Increment, Retirement notice workflows</t>
        </is>
      </c>
    </row>
    <row r="15" ht="28" customHeight="1">
      <c r="A15" s="26" t="inlineStr">
        <is>
          <t>Phase 3</t>
        </is>
      </c>
      <c r="B15" s="9" t="inlineStr">
        <is>
          <t>Weeks 11-16</t>
        </is>
      </c>
      <c r="C15" s="9" t="inlineStr">
        <is>
          <t>Mobile &amp; Biometrics</t>
        </is>
      </c>
      <c r="D15" s="9" t="inlineStr">
        <is>
          <t>Native mobile app (Flutter / React Native) for employees</t>
        </is>
      </c>
    </row>
    <row r="16" ht="28" customHeight="1">
      <c r="A16" s="26" t="inlineStr">
        <is>
          <t>Phase 3</t>
        </is>
      </c>
      <c r="B16" s="9" t="inlineStr">
        <is>
          <t>Weeks 11-16</t>
        </is>
      </c>
      <c r="C16" s="9" t="inlineStr">
        <is>
          <t>Mobile &amp; Biometrics</t>
        </is>
      </c>
      <c r="D16" s="9" t="inlineStr">
        <is>
          <t>Geolocation + photo check-in (flag raising/lowering, training)</t>
        </is>
      </c>
    </row>
    <row r="17" ht="28" customHeight="1">
      <c r="A17" s="26" t="inlineStr">
        <is>
          <t>Phase 3</t>
        </is>
      </c>
      <c r="B17" s="9" t="inlineStr">
        <is>
          <t>Weeks 11-16</t>
        </is>
      </c>
      <c r="C17" s="9" t="inlineStr">
        <is>
          <t>Mobile &amp; Biometrics</t>
        </is>
      </c>
      <c r="D17" s="9" t="inlineStr">
        <is>
          <t>Face-recognition biometric attendance integration</t>
        </is>
      </c>
    </row>
    <row r="18" ht="28" customHeight="1">
      <c r="A18" s="26" t="inlineStr">
        <is>
          <t>Phase 3</t>
        </is>
      </c>
      <c r="B18" s="9" t="inlineStr">
        <is>
          <t>Weeks 11-16</t>
        </is>
      </c>
      <c r="C18" s="9" t="inlineStr">
        <is>
          <t>Mobile &amp; Biometrics</t>
        </is>
      </c>
      <c r="D18" s="9" t="inlineStr">
        <is>
          <t>Electronic signature integration (DocuSign or local PKI)</t>
        </is>
      </c>
    </row>
    <row r="19" ht="28" customHeight="1">
      <c r="A19" s="27" t="inlineStr">
        <is>
          <t>Phase 4</t>
        </is>
      </c>
      <c r="B19" s="9" t="inlineStr">
        <is>
          <t>Weeks 17-20</t>
        </is>
      </c>
      <c r="C19" s="9" t="inlineStr">
        <is>
          <t>Intelligence</t>
        </is>
      </c>
      <c r="D19" s="9" t="inlineStr">
        <is>
          <t>Attrition risk scoring model</t>
        </is>
      </c>
    </row>
    <row r="20" ht="28" customHeight="1">
      <c r="A20" s="27" t="inlineStr">
        <is>
          <t>Phase 4</t>
        </is>
      </c>
      <c r="B20" s="9" t="inlineStr">
        <is>
          <t>Weeks 17-20</t>
        </is>
      </c>
      <c r="C20" s="9" t="inlineStr">
        <is>
          <t>Intelligence</t>
        </is>
      </c>
      <c r="D20" s="9" t="inlineStr">
        <is>
          <t>Chatbot conversational UI</t>
        </is>
      </c>
    </row>
    <row r="21" ht="28" customHeight="1">
      <c r="A21" s="27" t="inlineStr">
        <is>
          <t>Phase 4</t>
        </is>
      </c>
      <c r="B21" s="9" t="inlineStr">
        <is>
          <t>Weeks 17-20</t>
        </is>
      </c>
      <c r="C21" s="9" t="inlineStr">
        <is>
          <t>Intelligence</t>
        </is>
      </c>
      <c r="D21" s="9" t="inlineStr">
        <is>
          <t>Drag-drop report builder</t>
        </is>
      </c>
    </row>
    <row r="22" ht="28" customHeight="1">
      <c r="A22" s="27" t="inlineStr">
        <is>
          <t>Phase 4</t>
        </is>
      </c>
      <c r="B22" s="9" t="inlineStr">
        <is>
          <t>Weeks 17-20</t>
        </is>
      </c>
      <c r="C22" s="9" t="inlineStr">
        <is>
          <t>Intelligence</t>
        </is>
      </c>
      <c r="D22" s="9" t="inlineStr">
        <is>
          <t>Drag-drop org-chart editor with vacancy overlay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2026-04-22T12:32:12Z</dcterms:created>
  <dcterms:modified xmlns:dcterms="http://purl.org/dc/terms/" xmlns:xsi="http://www.w3.org/2001/XMLSchema-instance" xsi:type="dcterms:W3CDTF">2026-04-22T12:32:12Z</dcterms:modified>
</cp:coreProperties>
</file>