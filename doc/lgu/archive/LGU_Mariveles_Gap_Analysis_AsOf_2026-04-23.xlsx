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psanchez/Downloads/hcm360/doc/lgu/"/>
    </mc:Choice>
  </mc:AlternateContent>
  <xr:revisionPtr revIDLastSave="0" documentId="13_ncr:1_{4E7E91C4-092A-7D40-9093-FE8FB1B27FB0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Summary" sheetId="1" r:id="rId1"/>
    <sheet name="Full Matrix" sheetId="2" r:id="rId2"/>
    <sheet name="Gap Backlog" sheetId="3" r:id="rId3"/>
    <sheet name="Partial Refinements" sheetId="4" r:id="rId4"/>
    <sheet name="Module Coverage" sheetId="5" r:id="rId5"/>
    <sheet name="Roadmap" sheetId="6" r:id="rId6"/>
  </sheets>
  <definedNames>
    <definedName name="_xlnm._FilterDatabase" localSheetId="1" hidden="1">'Full Matrix'!$A$1:$G$100</definedName>
    <definedName name="_xlnm._FilterDatabase" localSheetId="2" hidden="1">'Gap Backlog'!$A$3:$G$3</definedName>
    <definedName name="_xlnm._FilterDatabase" localSheetId="3" hidden="1">'Partial Refinements'!$A$3:$D$23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5" l="1"/>
  <c r="C29" i="5"/>
  <c r="B29" i="5"/>
  <c r="E29" i="5" s="1"/>
  <c r="F29" i="5" s="1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E22" i="5" s="1"/>
  <c r="F22" i="5" s="1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E16" i="5" s="1"/>
  <c r="F16" i="5" s="1"/>
  <c r="D15" i="5"/>
  <c r="C15" i="5"/>
  <c r="B15" i="5"/>
  <c r="D14" i="5"/>
  <c r="C14" i="5"/>
  <c r="B14" i="5"/>
  <c r="E14" i="5" s="1"/>
  <c r="F14" i="5" s="1"/>
  <c r="D13" i="5"/>
  <c r="C13" i="5"/>
  <c r="B13" i="5"/>
  <c r="E13" i="5" s="1"/>
  <c r="F13" i="5" s="1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E8" i="5" s="1"/>
  <c r="F8" i="5" s="1"/>
  <c r="D7" i="5"/>
  <c r="C7" i="5"/>
  <c r="B7" i="5"/>
  <c r="D6" i="5"/>
  <c r="C6" i="5"/>
  <c r="B6" i="5"/>
  <c r="D5" i="5"/>
  <c r="C5" i="5"/>
  <c r="B5" i="5"/>
  <c r="E5" i="5" s="1"/>
  <c r="F5" i="5" s="1"/>
  <c r="D4" i="5"/>
  <c r="D30" i="5" s="1"/>
  <c r="C4" i="5"/>
  <c r="C30" i="5" s="1"/>
  <c r="B4" i="5"/>
  <c r="B4" i="3"/>
  <c r="B10" i="1"/>
  <c r="B9" i="1"/>
  <c r="B8" i="1"/>
  <c r="E17" i="5" l="1"/>
  <c r="F17" i="5" s="1"/>
  <c r="E4" i="5"/>
  <c r="E28" i="5"/>
  <c r="F28" i="5" s="1"/>
  <c r="E21" i="5"/>
  <c r="F21" i="5" s="1"/>
  <c r="E24" i="5"/>
  <c r="F24" i="5" s="1"/>
  <c r="B11" i="1"/>
  <c r="C10" i="1" s="1"/>
  <c r="E6" i="5"/>
  <c r="F6" i="5" s="1"/>
  <c r="E9" i="5"/>
  <c r="F9" i="5" s="1"/>
  <c r="E11" i="5"/>
  <c r="F11" i="5" s="1"/>
  <c r="E19" i="5"/>
  <c r="F19" i="5" s="1"/>
  <c r="E25" i="5"/>
  <c r="F25" i="5" s="1"/>
  <c r="E27" i="5"/>
  <c r="F27" i="5" s="1"/>
  <c r="E12" i="5"/>
  <c r="F12" i="5" s="1"/>
  <c r="E20" i="5"/>
  <c r="F20" i="5" s="1"/>
  <c r="E7" i="5"/>
  <c r="F7" i="5" s="1"/>
  <c r="E15" i="5"/>
  <c r="F15" i="5" s="1"/>
  <c r="E23" i="5"/>
  <c r="F23" i="5" s="1"/>
  <c r="E10" i="5"/>
  <c r="F10" i="5" s="1"/>
  <c r="E18" i="5"/>
  <c r="F18" i="5" s="1"/>
  <c r="E26" i="5"/>
  <c r="F26" i="5" s="1"/>
  <c r="F4" i="5"/>
  <c r="B30" i="5"/>
  <c r="E30" i="5" l="1"/>
  <c r="F30" i="5" s="1"/>
  <c r="C9" i="1"/>
  <c r="C8" i="1"/>
</calcChain>
</file>

<file path=xl/sharedStrings.xml><?xml version="1.0" encoding="utf-8"?>
<sst xmlns="http://schemas.openxmlformats.org/spreadsheetml/2006/main" count="938" uniqueCount="500">
  <si>
    <t>HCM360 HRIS — LGU Gap Analysis</t>
  </si>
  <si>
    <t>Municipality of Mariveles, Province of Bataan — Human Resource Management Office</t>
  </si>
  <si>
    <t>As Of April 23, 2026  ·  HCM360 v1.0.0</t>
  </si>
  <si>
    <t>Coverage Summary</t>
  </si>
  <si>
    <t>Status</t>
  </si>
  <si>
    <t>Count</t>
  </si>
  <si>
    <t>% of Total</t>
  </si>
  <si>
    <t>Meaning</t>
  </si>
  <si>
    <t>COVERED</t>
  </si>
  <si>
    <t>Fully implemented — production-ready for LGU use</t>
  </si>
  <si>
    <t>PARTIAL</t>
  </si>
  <si>
    <t>Exists; requires LGU-specific tuning, templates, or configuration</t>
  </si>
  <si>
    <t>GAP</t>
  </si>
  <si>
    <t>Needs new development before deployment</t>
  </si>
  <si>
    <t>TOTAL</t>
  </si>
  <si>
    <t>Requirements mapped from LGU document</t>
  </si>
  <si>
    <t>Critical Gaps — Top Priorities for LGU Deployment</t>
  </si>
  <si>
    <t>• CS Form No. 6 (revised 2020) — leave application strict compliance</t>
  </si>
  <si>
    <t>• CS Form No. 7 (s.2017) — Exit Interview</t>
  </si>
  <si>
    <t>• Personal Data Sheet (PDS) — CSC-prescribed template with versioning</t>
  </si>
  <si>
    <t>• IPCR / OPCR performance contract templates</t>
  </si>
  <si>
    <t>• Travel Order + Locator Slip modules (pre-approval + DTR integration)</t>
  </si>
  <si>
    <t>• Face-recognition + mobile geo-tagged check-in (flag raising/lowering)</t>
  </si>
  <si>
    <t>• Step Increment tracking (every 3 years from Date of Original Appointment)</t>
  </si>
  <si>
    <t>• Retirement monitoring (Age 60 early / 65 mandatory) + multi-recipient notice</t>
  </si>
  <si>
    <t>• Job Order / LSB / BHW / Nutritionist Scholar contract workflows</t>
  </si>
  <si>
    <t>• CSC Eligibility reporting split by 1st Level vs 2nd Level by gender</t>
  </si>
  <si>
    <t>Section</t>
  </si>
  <si>
    <t>Requirement</t>
  </si>
  <si>
    <t>HCM360 Module</t>
  </si>
  <si>
    <t>Page / Route</t>
  </si>
  <si>
    <t>Gap / Notes</t>
  </si>
  <si>
    <t>Priority</t>
  </si>
  <si>
    <t>1. CSC PRIME-HRM Level 2</t>
  </si>
  <si>
    <t>Recruitment, Selection, Placement (RSP)</t>
  </si>
  <si>
    <t>Recruitment</t>
  </si>
  <si>
    <t>/recruitment</t>
  </si>
  <si>
    <t>Requisitions, candidates, CSC eligibilities, qualification standards</t>
  </si>
  <si>
    <t>Low</t>
  </si>
  <si>
    <t>Performance Management (PM)</t>
  </si>
  <si>
    <t>Performance Management</t>
  </si>
  <si>
    <t>/performance</t>
  </si>
  <si>
    <t>Review cycles, KPIs, competency-based evaluation</t>
  </si>
  <si>
    <t>Learning and Development (L&amp;D)</t>
  </si>
  <si>
    <t>Learning &amp; Development</t>
  </si>
  <si>
    <t>/learning</t>
  </si>
  <si>
    <t>Training catalog, enrollments, certifications</t>
  </si>
  <si>
    <t>Rewards and Recognition (R&amp;R)</t>
  </si>
  <si>
    <t>Rewards &amp; Recognition</t>
  </si>
  <si>
    <t>/rewards</t>
  </si>
  <si>
    <t>Awards, praise wall, nominations</t>
  </si>
  <si>
    <t>CSC PRIME-HRM Level 2 certification alignment</t>
  </si>
  <si>
    <t>All four modules</t>
  </si>
  <si>
    <t>/admin/reference</t>
  </si>
  <si>
    <t>Modules present; formal CSC audit alignment pending</t>
  </si>
  <si>
    <t>High</t>
  </si>
  <si>
    <t>2. Report Generating (Functional)</t>
  </si>
  <si>
    <t>Data sources — pull from multiple DBs/systems</t>
  </si>
  <si>
    <t>Services</t>
  </si>
  <si>
    <t>services/db.py + reporting_service</t>
  </si>
  <si>
    <t>Centralized psycopg2 pool with view-based aggregation</t>
  </si>
  <si>
    <t>Report design (drag-drop / designer)</t>
  </si>
  <si>
    <t>Analytics</t>
  </si>
  <si>
    <t>/reports (report builder)</t>
  </si>
  <si>
    <t>Saved queries + parameters; drag-drop UI would enhance</t>
  </si>
  <si>
    <t>Medium</t>
  </si>
  <si>
    <t>Data analysis (query, analyze, summarize)</t>
  </si>
  <si>
    <t>/reports/demographics, /reports</t>
  </si>
  <si>
    <t>Materialized views + SQL-driven metrics</t>
  </si>
  <si>
    <t>Manual + automated report generation</t>
  </si>
  <si>
    <t>Analytics + Reminders</t>
  </si>
  <si>
    <t>/admin/reminders, /reports</t>
  </si>
  <si>
    <t>Reminder rules can trigger scheduled reports</t>
  </si>
  <si>
    <t>Output: screen, PDF, spreadsheet, print</t>
  </si>
  <si>
    <t>Reporting Service</t>
  </si>
  <si>
    <t>services/reporting_service.py</t>
  </si>
  <si>
    <t>PDF via ReportLab; CSV/Excel export available</t>
  </si>
  <si>
    <t>Output: email distribution</t>
  </si>
  <si>
    <t>Reminders</t>
  </si>
  <si>
    <t>/admin/reminders</t>
  </si>
  <si>
    <t>Reminder engine exists; SMTP config must be wired in .env</t>
  </si>
  <si>
    <t>Security — authentication &amp; authorization</t>
  </si>
  <si>
    <t>Access Service</t>
  </si>
  <si>
    <t>/admin/access-matrix</t>
  </si>
  <si>
    <t>3-tier RBAC (page, feature, modification)</t>
  </si>
  <si>
    <t>2. Report Generating (Non-Functional)</t>
  </si>
  <si>
    <t>Performance (speed, load response)</t>
  </si>
  <si>
    <t>Infrastructure</t>
  </si>
  <si>
    <t>docker-compose.yml</t>
  </si>
  <si>
    <t>PG tuned (shared_buffers 256MB, max_connections 200)</t>
  </si>
  <si>
    <t>Scalability (data volume, user growth)</t>
  </si>
  <si>
    <t>Stateless web tier, pool-based DB access, volume-backed</t>
  </si>
  <si>
    <t>Reliability (error handling, integrity, audit)</t>
  </si>
  <si>
    <t>Audit Logs</t>
  </si>
  <si>
    <t>audit_logs schema</t>
  </si>
  <si>
    <t>Trigger-based change capture on all mutations</t>
  </si>
  <si>
    <t>3. Attendance Monitoring</t>
  </si>
  <si>
    <t>Online leave application &amp; approval</t>
  </si>
  <si>
    <t>Leave Management</t>
  </si>
  <si>
    <t>/leave/requests, /me/leaves</t>
  </si>
  <si>
    <t>Full workflow: PENDING → APPROVED → balance debit</t>
  </si>
  <si>
    <t>Compensatory Time Off (CTO) workflow</t>
  </si>
  <si>
    <t>/leave/types</t>
  </si>
  <si>
    <t>Add CTO to lv_types with accrual rules tied to OT</t>
  </si>
  <si>
    <t>Travel Order — online application &amp; pre-approval</t>
  </si>
  <si>
    <t>Core HR</t>
  </si>
  <si>
    <t>/travel-orders/, /travel-orders/new</t>
  </si>
  <si>
    <t>core.travel_orders with 2-level approval (supervisor → head); printable TO form</t>
  </si>
  <si>
    <t>Request for Training / Office Order</t>
  </si>
  <si>
    <t>L&amp;D + Workflow</t>
  </si>
  <si>
    <t>/learning/enrollments</t>
  </si>
  <si>
    <t>Enrollments exist; office-order form template needed</t>
  </si>
  <si>
    <t>Locator Slip with pre-approval</t>
  </si>
  <si>
    <t>/locator-slips/, /locator-slips/new</t>
  </si>
  <si>
    <t>core.locator_slips with supervisor approve/reject + time-out/return tracking</t>
  </si>
  <si>
    <t>Pre-approved items auto-reflect on DTR + invalidate overlaps</t>
  </si>
  <si>
    <t>Attendance</t>
  </si>
  <si>
    <t>/attendance/daily</t>
  </si>
  <si>
    <t>Leave requests already block DTR-day conflicts</t>
  </si>
  <si>
    <t>Mobile / desktop time-tracking with OT + remote check-in</t>
  </si>
  <si>
    <t>/me/attendance</t>
  </si>
  <si>
    <t>Web time-in/out exists; native mobile + remote check-in need build</t>
  </si>
  <si>
    <t>Online DTR check, acknowledge, approve</t>
  </si>
  <si>
    <t>/attendance/daily, /me/attendance</t>
  </si>
  <si>
    <t>Approval workflow wired to supervisor</t>
  </si>
  <si>
    <t>Civil Service Form No. 6 (revised 2020) — strict implementation</t>
  </si>
  <si>
    <t>/leave/cs-form-6, /leave/cs-form-6/new</t>
  </si>
  <si>
    <t>Extended lv_requests with CSC fields (whereabouts, commutation, recommend, head action); printable CSC form</t>
  </si>
  <si>
    <t>Travel Order + Locator Slip pre-approval &amp; monitoring</t>
  </si>
  <si>
    <t>/travel-orders/, /locator-slips/</t>
  </si>
  <si>
    <t>Dedicated modules for both with pre-approval workflow and DTR linkage</t>
  </si>
  <si>
    <t>Monitor habitual tardiness &amp; AWOL</t>
  </si>
  <si>
    <t>/attendance/alerts</t>
  </si>
  <si>
    <t>att_alerts generates alerts on thresholds</t>
  </si>
  <si>
    <t>Auto-alert when VL &lt; 5 days or tardiness reaches 7x</t>
  </si>
  <si>
    <t>Threshold rules configurable; specific LGU thresholds to be seeded</t>
  </si>
  <si>
    <t>Face-recognition attendance / automated record</t>
  </si>
  <si>
    <t>/checkin/, /checkin/enroll</t>
  </si>
  <si>
    <t>Browser face-api.js 128-d descriptor match; threshold configurable at /admin/checkin-settings</t>
  </si>
  <si>
    <t>Shift schedule mgmt (security, rescue, medical, on-call)</t>
  </si>
  <si>
    <t>/attendance/shifts, /attendance/shift-assignments</t>
  </si>
  <si>
    <t>Shift types + per-employee assignments</t>
  </si>
  <si>
    <t>Flag raising / lowering mobile check-in with photo</t>
  </si>
  <si>
    <t>/checkin/ (activity=flag_raising|flag_lowering)</t>
  </si>
  <si>
    <t>Geolocation + face check-in with activity selector; configurable activity types</t>
  </si>
  <si>
    <t>4. Recruitment</t>
  </si>
  <si>
    <t>Auto-notify qualified next-in-rank of posted vacancy</t>
  </si>
  <si>
    <t>Recruitment + Reminders</t>
  </si>
  <si>
    <t>/recruitment/requisitions</t>
  </si>
  <si>
    <t>Requisition posting exists; next-in-rank ranking rule needs logic</t>
  </si>
  <si>
    <t>Pre-assess online applications vs CSC qualification standards</t>
  </si>
  <si>
    <t>/recruitment/candidates</t>
  </si>
  <si>
    <t>rsp.qualification_standards + rsp.csc_eligibilities</t>
  </si>
  <si>
    <t>Retain applications for 5 years</t>
  </si>
  <si>
    <t>DMS + Retention</t>
  </si>
  <si>
    <t>/admin/reference-data/retention_policies</t>
  </si>
  <si>
    <t>Set retention policy to 5 years for recruitment docs</t>
  </si>
  <si>
    <t>Source candidates — internal/external + 3 conspicuous places + job portals</t>
  </si>
  <si>
    <t>Internal + external tracked; job-portal API integration additional</t>
  </si>
  <si>
    <t>Online approval — JO, LSB, Barangay Health Worker/Nutritionist Scholar contracts</t>
  </si>
  <si>
    <t>/lgu-contracts/, /lgu-contracts/new</t>
  </si>
  <si>
    <t>core.lgu_contract_types seeded with JO/LSB/BHW/NS; core.lgu_contracts with approval workflow &amp; printable contract</t>
  </si>
  <si>
    <t>4.1 Onboarding / Offboarding</t>
  </si>
  <si>
    <t>Digital onboarding — forms, checklists, policy ack, equipment, training</t>
  </si>
  <si>
    <t>Onboarding</t>
  </si>
  <si>
    <t>/me/onboarding</t>
  </si>
  <si>
    <t>Checklist with stages (ACTIVATED, etc.)</t>
  </si>
  <si>
    <t>Electronic signature on documents</t>
  </si>
  <si>
    <t>Core</t>
  </si>
  <si>
    <t>/admin/esignature-settings, /esign/&lt;kind&gt;/&lt;id&gt;/sign</t>
  </si>
  <si>
    <t>Canvas pad (in-browser) + DocuSign adapter (stub); core.document_signatures + core.esignature_settings</t>
  </si>
  <si>
    <t>Offboarding — exit interview, CS Form No. 7, transition, asset return, access removal, archive</t>
  </si>
  <si>
    <t>/offboarding/exit-interview, /offboarding/clearance</t>
  </si>
  <si>
    <t>Exit interview form with ratings; CS Form 7 clearance with 9 default signatory items + auto-CLEARED status</t>
  </si>
  <si>
    <t>5. Performance Management</t>
  </si>
  <si>
    <t>Goal-setting &amp; progress tracking for employees, dept heads, PM team</t>
  </si>
  <si>
    <t>/performance/goals</t>
  </si>
  <si>
    <t>KPIs + competencies per cycle</t>
  </si>
  <si>
    <t>IPCR &amp; OPCR periodic review</t>
  </si>
  <si>
    <t>/performance/reviews</t>
  </si>
  <si>
    <t>Review engine exists; IPCR/OPCR CSC templates to be added</t>
  </si>
  <si>
    <t>Succession planning — critical roles + internal candidates</t>
  </si>
  <si>
    <t>Performance + Workforce Planning</t>
  </si>
  <si>
    <t>/workforce-planning, /performance</t>
  </si>
  <si>
    <t>Scenarios exist; succession slate UI needs dedicated page</t>
  </si>
  <si>
    <t>6. Learning and Development</t>
  </si>
  <si>
    <t>Post available trainings/seminars; track needs</t>
  </si>
  <si>
    <t>L&amp;D</t>
  </si>
  <si>
    <t>/learning/catalog, /learning/enrollments</t>
  </si>
  <si>
    <t>Catalog with prerequisites, needs-based flagging</t>
  </si>
  <si>
    <t>Training attendance via mobile with geotag + AM/PM + date</t>
  </si>
  <si>
    <t>/learning/sessions/&lt;id&gt;/checkin</t>
  </si>
  <si>
    <t>Mobile camera + GPS check-in with AM/PM shift_period column on lrn_attendance_logs</t>
  </si>
  <si>
    <t>Online Narrative Report Form before acknowledgment</t>
  </si>
  <si>
    <t>/learning/nrf, /learning/nrf/new/&lt;enrollment_id&gt;</t>
  </si>
  <si>
    <t>Form + backend tied to enrollment via lrn_narrative_reports; LD_NRF_APPROVAL workflow</t>
  </si>
  <si>
    <t>7.1 Loyalty Service Award</t>
  </si>
  <si>
    <t>Auto-identify employees reaching 10 years continuous service</t>
  </si>
  <si>
    <t>R&amp;R</t>
  </si>
  <si>
    <t>/rewards/loyalty</t>
  </si>
  <si>
    <t>Scan creates rwd_loyalty_milestones rows at 10/15/20/25/30 year marks</t>
  </si>
  <si>
    <t>Every 5 years thereafter (15, 20, 25, 30, …)</t>
  </si>
  <si>
    <t>Scanner iterates milestones [10,15,20,25,30,35,40] within 180-day horizon</t>
  </si>
  <si>
    <t>Auto Notice / Memo generation for loyalty award</t>
  </si>
  <si>
    <t>/rewards/loyalty/&lt;id&gt;/memo.pdf</t>
  </si>
  <si>
    <t>ReportLab memo generator with memo_no sequencing; status transitions ELIGIBLE → AWARDED</t>
  </si>
  <si>
    <t>7.2 Step Increment</t>
  </si>
  <si>
    <t>Auto-track Step Increment eligibility every 3 years</t>
  </si>
  <si>
    <t>/step-increments/</t>
  </si>
  <si>
    <t>core.step_increment_history with /step-increments/scan (DUE/NOTICE_SENT/APPROVED/RECORDED)</t>
  </si>
  <si>
    <t>Based on Date of Original Appointment</t>
  </si>
  <si>
    <t>core.employees.date_of_original_appointment</t>
  </si>
  <si>
    <t>Column added in migration 53; backfilled from date_hired</t>
  </si>
  <si>
    <t>Generate Step Increment Due Report</t>
  </si>
  <si>
    <t>/step-increments/?status=DUE</t>
  </si>
  <si>
    <t>Filterable dashboard with due/overdue/coming-soon KPIs</t>
  </si>
  <si>
    <t>Generate Step Increment Notice / Memo</t>
  </si>
  <si>
    <t>/step-increments/&lt;id&gt;/notice</t>
  </si>
  <si>
    <t>Notice action transitions DUE → NOTICE_SENT with audit trail</t>
  </si>
  <si>
    <t>7.3 Retirement Monitoring</t>
  </si>
  <si>
    <t>Auto-identify approaching retirement with gender breakdown</t>
  </si>
  <si>
    <t>/retirement/</t>
  </si>
  <si>
    <t>core.retirement_tracking + /retirement/scan; KPIs include male/female pending</t>
  </si>
  <si>
    <t>Early Retirement Age 60 / Mandatory 65</t>
  </si>
  <si>
    <t>/admin/retirement-rules</t>
  </si>
  <si>
    <t>core.retirement_rules configurable per company (default 60/65)</t>
  </si>
  <si>
    <t>List of nearing retirement (6 months / 1 year before)</t>
  </si>
  <si>
    <t>notice_lead_months setting drives horizon; dashboard lists all UPCOMING rows</t>
  </si>
  <si>
    <t>Retirement Notice / Memo for HR, Employee, Accounting/Budget/Payroll</t>
  </si>
  <si>
    <t>/retirement/&lt;id&gt;/notice</t>
  </si>
  <si>
    <t>Single action generates 3 notice artifacts (HR, Employee, Finance paths)</t>
  </si>
  <si>
    <t>Male/Female breakdown for Age 60+ and 65+</t>
  </si>
  <si>
    <t>/reports/demographics, /retirement/</t>
  </si>
  <si>
    <t>Retirement dashboard KPIs include gender-split pending counts</t>
  </si>
  <si>
    <t>8. Payroll System</t>
  </si>
  <si>
    <t>Payroll automation — salaries, deductions by role/hours</t>
  </si>
  <si>
    <t>Payroll</t>
  </si>
  <si>
    <t>/payroll/runs</t>
  </si>
  <si>
    <t>DRAFT → COMPUTING → COMPUTED → APPROVED → POSTED</t>
  </si>
  <si>
    <t>Generate digital payslips</t>
  </si>
  <si>
    <t>/payroll/payslips/&lt;id&gt;/pdf, /me/payslips</t>
  </si>
  <si>
    <t>On-demand PDF via reporting_service</t>
  </si>
  <si>
    <t>Benefits administration portal (integrated with payroll)</t>
  </si>
  <si>
    <t>ESS + Payroll</t>
  </si>
  <si>
    <t>/me/benefits</t>
  </si>
  <si>
    <t>Enrollment + employer/employee cost tracking</t>
  </si>
  <si>
    <t>Encode GSIS, Pag-IBIG, Coop, Cash Advance loans</t>
  </si>
  <si>
    <t>/payroll/loans</t>
  </si>
  <si>
    <t>pay_loans with loan_type enum covering all LGU sources</t>
  </si>
  <si>
    <t>Loan details — amount, terms, start date, end date</t>
  </si>
  <si>
    <t>Standard fields on pay_loans</t>
  </si>
  <si>
    <t>Monthly payment &amp; outstanding balance (manual input)</t>
  </si>
  <si>
    <t>Amortization schedule + manual override</t>
  </si>
  <si>
    <t>View Employee Loan Profile per personnel</t>
  </si>
  <si>
    <t>ESS</t>
  </si>
  <si>
    <t>/me/compensation</t>
  </si>
  <si>
    <t>Active loans shown on compensation page</t>
  </si>
  <si>
    <t>Generate Loan Summary List</t>
  </si>
  <si>
    <t>/payroll/loans (export)</t>
  </si>
  <si>
    <t>CSV/Excel export available</t>
  </si>
  <si>
    <t>9. Security &amp; Data Governance</t>
  </si>
  <si>
    <t>Role-based permissions (HR, MIS, employees)</t>
  </si>
  <si>
    <t>3-tier: page / feature / modification</t>
  </si>
  <si>
    <t>Audit trails — who edited what, when; access logs</t>
  </si>
  <si>
    <t>audit_logs.change_log, audit_logs.access_log</t>
  </si>
  <si>
    <t>Trigger-based capture</t>
  </si>
  <si>
    <t>Data encryption in transit &amp; at rest + backups / DR</t>
  </si>
  <si>
    <t>docker-compose.yml + TLS proxy</t>
  </si>
  <si>
    <t>TLS at reverse proxy; host disk encryption; DR via pg_dump backups/</t>
  </si>
  <si>
    <t>Compliance modules — labor laws, tax, data privacy</t>
  </si>
  <si>
    <t>Privacy + Payroll</t>
  </si>
  <si>
    <t>/admin/privacy, /payroll</t>
  </si>
  <si>
    <t>RA 10173 field-level privacy; BIR/SSS/PhilHealth/HDMF schedules</t>
  </si>
  <si>
    <t>Archival &amp; retention — auto removal/archiving of old records</t>
  </si>
  <si>
    <t>DMS</t>
  </si>
  <si>
    <t>Policies exist; scheduled archival job to be built</t>
  </si>
  <si>
    <t>10. Employee Records Management</t>
  </si>
  <si>
    <t>Central searchable employee profile</t>
  </si>
  <si>
    <t>/employees, /employees/&lt;id&gt;</t>
  </si>
  <si>
    <t>201 file with sub-records; global search at /search</t>
  </si>
  <si>
    <t>Digital document storage with version control &amp; expiry</t>
  </si>
  <si>
    <t>/dms, /employees/&lt;id&gt;/documents</t>
  </si>
  <si>
    <t>document_categories + expiration + retention</t>
  </si>
  <si>
    <t>Role / position management; live org chart</t>
  </si>
  <si>
    <t>Core HR + Orgchart</t>
  </si>
  <si>
    <t>/orgchart, /admin/reference-data/positions</t>
  </si>
  <si>
    <t>Positions + departments + org chart</t>
  </si>
  <si>
    <t>Full lifecycle — recruitment → onboarding → active → transitions → offboarding</t>
  </si>
  <si>
    <t>Multiple</t>
  </si>
  <si>
    <t>/recruitment, /me/onboarding, /employees, /me/offboarding</t>
  </si>
  <si>
    <t>End-to-end coverage</t>
  </si>
  <si>
    <t>Paperless records with e-signatures, version control, audit</t>
  </si>
  <si>
    <t>/dms</t>
  </si>
  <si>
    <t>Paperless + audit exists; e-signature integration pending</t>
  </si>
  <si>
    <t>Employee Masterfile (Personal &amp; Employment)</t>
  </si>
  <si>
    <t>/employees/&lt;id&gt;</t>
  </si>
  <si>
    <t>v_employees_full view exposes everything</t>
  </si>
  <si>
    <t>Personal Data Sheet (PDS) storage — CSC template</t>
  </si>
  <si>
    <t>/me/pds, /pds/</t>
  </si>
  <si>
    <t>core.personal_data_sheets (JSONB, versioned); 10-tab form with auto-fill from masterfile; HR verification workflow</t>
  </si>
  <si>
    <t>Service Records &amp; Appointment History</t>
  </si>
  <si>
    <t>/employees/&lt;id&gt;/service-record</t>
  </si>
  <si>
    <t>Transitions tracked; formal CSC Service Record export pending</t>
  </si>
  <si>
    <t>10.1 HR Demographics (M/F breakdown)</t>
  </si>
  <si>
    <t>Gender Profile — total M/F overall + by dept/office</t>
  </si>
  <si>
    <t>/reports/demographics</t>
  </si>
  <si>
    <t>Demographics dashboard with department split</t>
  </si>
  <si>
    <t>Age Profile — distribution by gender</t>
  </si>
  <si>
    <t>Age-bucket histogram with gender</t>
  </si>
  <si>
    <t>Status of Appointment — Permanent/Casual/Contractual/JO/COS by sex</t>
  </si>
  <si>
    <t>Core HR + Analytics</t>
  </si>
  <si>
    <t>/admin/reference-data/employment_types</t>
  </si>
  <si>
    <t>Add JO and COS as employment types; extend report</t>
  </si>
  <si>
    <t>Rank Classification — Rank-and-File vs Officer/Supervisory M/F</t>
  </si>
  <si>
    <t>core.positions</t>
  </si>
  <si>
    <t>Add rank_classification column to core.positions; feed report</t>
  </si>
  <si>
    <t>Educational Attainment by gender (Graduate/College/HS/Elementary)</t>
  </si>
  <si>
    <t>core.employees.education_level</t>
  </si>
  <si>
    <t>Field exists; CSC-specific buckets and reporting to add</t>
  </si>
  <si>
    <t>Eligibility Profile — 1st Level / 2nd Level by gender</t>
  </si>
  <si>
    <t>/reports/eligibility</t>
  </si>
  <si>
    <t>rec_csc_eligibilities.level column + backfill; Level × Gender and Dept × Level cross-tabs</t>
  </si>
  <si>
    <t>Plantilla Summary — filled vs vacant by gender</t>
  </si>
  <si>
    <t>Workforce Planning</t>
  </si>
  <si>
    <t>/workforce-planning</t>
  </si>
  <si>
    <t>Current vs. planned shown; plantilla report needs gender split</t>
  </si>
  <si>
    <t>Salary Grade Distribution — count per grade with M/F</t>
  </si>
  <si>
    <t>Salary grade × gender matrix</t>
  </si>
  <si>
    <t>Training history per employee + summary with gender breakout</t>
  </si>
  <si>
    <t>L&amp;D + Analytics</t>
  </si>
  <si>
    <t>/reports/training, /learning/attendance</t>
  </si>
  <si>
    <t>Enrollment &amp; completion data</t>
  </si>
  <si>
    <t>11. Reporting, Analytics &amp; Dashboards</t>
  </si>
  <si>
    <t>Real-time dashboards (headcount, turnover, absence, leave trends)</t>
  </si>
  <si>
    <t>/ (main), /reports</t>
  </si>
  <si>
    <t>dashboard_metrics drives role-filtered KPI cards</t>
  </si>
  <si>
    <t>Pre-built &amp; custom reports; CSV/Excel export</t>
  </si>
  <si>
    <t>/reports</t>
  </si>
  <si>
    <t>Saved queries + parameters; export utilities</t>
  </si>
  <si>
    <t>Predictive analytics — retention risk, workforce forecast</t>
  </si>
  <si>
    <t>Analytics + AI</t>
  </si>
  <si>
    <t>/reports/attrition-risk, /workforce-planning, /ai</t>
  </si>
  <si>
    <t>Attrition scoring v2 heuristic writes to ai.ai_risk_scores; ARIA predict_attrition_risk tool; workforce scenarios</t>
  </si>
  <si>
    <t>12. Self-Service &amp; Mobile</t>
  </si>
  <si>
    <t>All functions accessible on mobile</t>
  </si>
  <si>
    <t>UI</t>
  </si>
  <si>
    <t>All /me/* pages</t>
  </si>
  <si>
    <t>Responsive web; native mobile app to enhance</t>
  </si>
  <si>
    <t>Employee self-service portal</t>
  </si>
  <si>
    <t>/me, /me/profile, /me/leaves, /me/payslips</t>
  </si>
  <si>
    <t>Full self-service suite</t>
  </si>
  <si>
    <t>Dept head self-service — approve leaves, dashboards, team reports</t>
  </si>
  <si>
    <t>MSS</t>
  </si>
  <si>
    <t>/team, /team/approvals, /me/inbox</t>
  </si>
  <si>
    <t>Manager service ready</t>
  </si>
  <si>
    <t>Online Request — COE, Service Record, SALN PDF, Appointment PDF</t>
  </si>
  <si>
    <t>DMS + Core</t>
  </si>
  <si>
    <t>/me/certificates, /me/saln, /rsp/appointments/&lt;id&gt;/pdf</t>
  </si>
  <si>
    <t>COE + Service Record + SALN (3-mode configurable) + Appointment PDF (CSC Form 33)</t>
  </si>
  <si>
    <t>13. Modern / Futuristic Add-Ons</t>
  </si>
  <si>
    <t>Chatbot / self-help assistant</t>
  </si>
  <si>
    <t>AI</t>
  </si>
  <si>
    <t>/ai</t>
  </si>
  <si>
    <t>ARIA AI exists; conversational chatbot UI to be enhanced</t>
  </si>
  <si>
    <t>AI-driven insights — skill gap, training, attrition risk</t>
  </si>
  <si>
    <t>/reports/attrition-risk, /ai</t>
  </si>
  <si>
    <t>Attrition heuristic + ARIA natural-language tool; skill gap in workforce planning</t>
  </si>
  <si>
    <t>Flexible work — hybrid/remote, geolocation clock-in, virtual check-in</t>
  </si>
  <si>
    <t>mobile app (to build)</t>
  </si>
  <si>
    <t>Work arrangement tracked; geolocation clock-in requires mobile</t>
  </si>
  <si>
    <t>Digital org chart — drag-drop, reporting lines, vacancies live</t>
  </si>
  <si>
    <t>Orgchart</t>
  </si>
  <si>
    <t>/orgchart</t>
  </si>
  <si>
    <t>Tree visualization + privacy; drag-drop editing pending</t>
  </si>
  <si>
    <t>14. Integration &amp; Ecosystem</t>
  </si>
  <si>
    <t>API / connectors — payroll, ERP/finance, SSO, time-clock</t>
  </si>
  <si>
    <t>payroll_web service, SSO JWT flow</t>
  </si>
  <si>
    <t>Payroll microservice + JWT SSO; formal REST API + ERP/biometric connectors to document</t>
  </si>
  <si>
    <t>Data import/export — migration, bulk updates</t>
  </si>
  <si>
    <t>Admin</t>
  </si>
  <si>
    <t>/admin/reference, /admin/demo-data</t>
  </si>
  <si>
    <t>CSV import tools + Demo Data profiles</t>
  </si>
  <si>
    <t>Gap Backlog — Items to Build for LGU Deployment</t>
  </si>
  <si>
    <t>ID</t>
  </si>
  <si>
    <t>Target Module</t>
  </si>
  <si>
    <t>Target Page / Route</t>
  </si>
  <si>
    <t>Effort Size</t>
  </si>
  <si>
    <t>Estimate</t>
  </si>
  <si>
    <t>Totals</t>
  </si>
  <si>
    <t>Small: 0 / Medium: 0 / Large: 0</t>
  </si>
  <si>
    <t>High: 0 / Med: 0</t>
  </si>
  <si>
    <t>Partial Refinements — Configuration &amp; Minor Build Tasks</t>
  </si>
  <si>
    <t>Refinement</t>
  </si>
  <si>
    <t>Action</t>
  </si>
  <si>
    <t>P01</t>
  </si>
  <si>
    <t>Seed CTO as leave type</t>
  </si>
  <si>
    <t>Leave</t>
  </si>
  <si>
    <t>Admin → Reference → lv_types → add CTO with OT accrual</t>
  </si>
  <si>
    <t>P02</t>
  </si>
  <si>
    <t>IPCR / OPCR templates</t>
  </si>
  <si>
    <t>PM</t>
  </si>
  <si>
    <t>Add templates to performance review cycles</t>
  </si>
  <si>
    <t>P03</t>
  </si>
  <si>
    <t>Job Portal posting integration</t>
  </si>
  <si>
    <t>RSP</t>
  </si>
  <si>
    <t>Add posting webhooks to 3rd-party job portals</t>
  </si>
  <si>
    <t>P04</t>
  </si>
  <si>
    <t>Successor slate UI</t>
  </si>
  <si>
    <t>New tab on /performance showing critical roles + slate</t>
  </si>
  <si>
    <t>P05</t>
  </si>
  <si>
    <t>CSC-specific employment types (JO, COS)</t>
  </si>
  <si>
    <t>Reference → employment_types → add JO, COS</t>
  </si>
  <si>
    <t>P06</t>
  </si>
  <si>
    <t>Rank classification on positions</t>
  </si>
  <si>
    <t>Add rank_classification column to core.positions</t>
  </si>
  <si>
    <t>P07</t>
  </si>
  <si>
    <t>Education bucket config per CSC</t>
  </si>
  <si>
    <t>Normalize education_level values; add report buckets</t>
  </si>
  <si>
    <t>P08</t>
  </si>
  <si>
    <t>Plantilla Summary by gender</t>
  </si>
  <si>
    <t>Extend existing scenario report with gender split</t>
  </si>
  <si>
    <t>P09</t>
  </si>
  <si>
    <t>Next-in-rank auto notification on vacancy</t>
  </si>
  <si>
    <t>RSP + Reminders</t>
  </si>
  <si>
    <t>Add rank-based rule to reminder engine</t>
  </si>
  <si>
    <t>P10</t>
  </si>
  <si>
    <t>Retention policy: 5 years for recruitment docs</t>
  </si>
  <si>
    <t>Set retention_policies for Recruitment category</t>
  </si>
  <si>
    <t>P11</t>
  </si>
  <si>
    <t>SMTP email delivery for reports/reminders</t>
  </si>
  <si>
    <t>Configure SMTP_HOST, SMTP_USER, SMTP_PASS in .env</t>
  </si>
  <si>
    <t>P12</t>
  </si>
  <si>
    <t>Disk encryption + TLS proxy</t>
  </si>
  <si>
    <t>Deploy behind nginx/Caddy with LE certs; LUKS on host</t>
  </si>
  <si>
    <t>P13</t>
  </si>
  <si>
    <t>Scheduled archival of off-boarded employees</t>
  </si>
  <si>
    <t>Cron job for retention_policies execution</t>
  </si>
  <si>
    <t>P14</t>
  </si>
  <si>
    <t>Drag-drop report builder UI</t>
  </si>
  <si>
    <t>Upgrade /reports with drag-drop canvas</t>
  </si>
  <si>
    <t>P15</t>
  </si>
  <si>
    <t>Chatbot conversational UI</t>
  </si>
  <si>
    <t>Wrap existing AI endpoints with chat UI</t>
  </si>
  <si>
    <t>P16</t>
  </si>
  <si>
    <t>Drag-drop org chart editing</t>
  </si>
  <si>
    <t>Enable node-drop reassignment on /orgchart</t>
  </si>
  <si>
    <t>P17</t>
  </si>
  <si>
    <t>Next-of-kin/rank notification for vacancies</t>
  </si>
  <si>
    <t>Configure reminder rule</t>
  </si>
  <si>
    <t>P18</t>
  </si>
  <si>
    <t>Mobile responsive enhancements</t>
  </si>
  <si>
    <t>Audit each /me page for &lt;640px viewports</t>
  </si>
  <si>
    <t>P19</t>
  </si>
  <si>
    <t>COE and Service Record HTML-to-PDF templates</t>
  </si>
  <si>
    <t>Add CSC-aligned certificate templates</t>
  </si>
  <si>
    <t>P20</t>
  </si>
  <si>
    <t>Retirement rules seeding (60 early, 65 mandatory)</t>
  </si>
  <si>
    <t>New reference table + age check on demographics</t>
  </si>
  <si>
    <t>Coverage by HCM360 Module</t>
  </si>
  <si>
    <t>Module</t>
  </si>
  <si>
    <t>Total</t>
  </si>
  <si>
    <t>Coverage %</t>
  </si>
  <si>
    <t>Privacy</t>
  </si>
  <si>
    <t>New module</t>
  </si>
  <si>
    <t>ALL MODULES</t>
  </si>
  <si>
    <t>Recommended Phasing for LGU Deployment</t>
  </si>
  <si>
    <t>Phase</t>
  </si>
  <si>
    <t>Timeline</t>
  </si>
  <si>
    <t>Theme</t>
  </si>
  <si>
    <t>Deliverable</t>
  </si>
  <si>
    <t>Phase 1</t>
  </si>
  <si>
    <t>Weeks 1-4</t>
  </si>
  <si>
    <t>LGU Readiness Baseline</t>
  </si>
  <si>
    <t>Configure reference data (CTO, JO, COS, rank classification, retention policies)</t>
  </si>
  <si>
    <t>Wire SMTP for reminders and report delivery</t>
  </si>
  <si>
    <t>Deploy behind TLS reverse proxy with production SECRET_KEY rotation</t>
  </si>
  <si>
    <t>Seed LGU-specific departments, positions, plantilla</t>
  </si>
  <si>
    <t>Train HR administrators on access matrix and privacy rules</t>
  </si>
  <si>
    <t>Phase 2</t>
  </si>
  <si>
    <t>Weeks 5-10</t>
  </si>
  <si>
    <t>Critical CSC Forms</t>
  </si>
  <si>
    <t>CS Form No. 6 leave application (strict)</t>
  </si>
  <si>
    <t>CS Form No. 7 exit interview</t>
  </si>
  <si>
    <t>Personal Data Sheet (PDS) with auto-fill</t>
  </si>
  <si>
    <t>IPCR / OPCR templates for performance reviews</t>
  </si>
  <si>
    <t>Travel Order + Locator Slip modules</t>
  </si>
  <si>
    <t>Loyalty Award, Step Increment, Retirement notice workflows</t>
  </si>
  <si>
    <t>Phase 3</t>
  </si>
  <si>
    <t>Weeks 11-16</t>
  </si>
  <si>
    <t>Mobile &amp; Biometrics</t>
  </si>
  <si>
    <t>Native mobile app (Flutter / React Native) for employees</t>
  </si>
  <si>
    <t>Geolocation + photo check-in (flag raising/lowering, training)</t>
  </si>
  <si>
    <t>Face-recognition biometric attendance integration</t>
  </si>
  <si>
    <t>Electronic signature integration (DocuSign or local PKI)</t>
  </si>
  <si>
    <t>Phase 4</t>
  </si>
  <si>
    <t>Weeks 17-20</t>
  </si>
  <si>
    <t>Intelligence</t>
  </si>
  <si>
    <t>Attrition risk scoring model</t>
  </si>
  <si>
    <t>Drag-drop report builder</t>
  </si>
  <si>
    <t>Drag-drop org-chart editor with vacancy overlay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</si>
</sst>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6"/>
      <color rgb="FF1E40AF"/>
      <name val="Arial"/>
      <family val="2"/>
    </font>
    <font>
      <i/>
      <sz val="10"/>
      <color rgb="FF6B7280"/>
      <name val="Arial"/>
      <family val="2"/>
    </font>
    <font>
      <sz val="10"/>
      <color rgb="FF9CA3AF"/>
      <name val="Arial"/>
      <family val="2"/>
    </font>
    <font>
      <b/>
      <sz val="13"/>
      <color rgb="FF1E40AF"/>
      <name val="Arial"/>
      <family val="2"/>
    </font>
    <font>
      <b/>
      <sz val="11"/>
      <color rgb="FFFFFFFF"/>
      <name val="Arial"/>
      <family val="2"/>
    </font>
    <font>
      <b/>
      <sz val="10"/>
      <color rgb="FF166534"/>
      <name val="Arial"/>
      <family val="2"/>
    </font>
    <font>
      <sz val="10"/>
      <name val="Arial"/>
      <family val="2"/>
    </font>
    <font>
      <b/>
      <sz val="10"/>
      <color rgb="FF92400E"/>
      <name val="Arial"/>
      <family val="2"/>
    </font>
    <font>
      <b/>
      <sz val="10"/>
      <color rgb="FF991B1B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0" borderId="0" xfId="0" applyFont="1"/>
    <xf numFmtId="0" fontId="0" fillId="0" borderId="0" xfId="0"/>
    <xf numFmtId="0" fontId="10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7" fillId="0" borderId="1" xfId="0" applyFont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workbookViewId="0">
      <selection activeCell="A20" sqref="A20:F20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2" customWidth="1"/>
    <col min="4" max="5" width="30" customWidth="1"/>
    <col min="6" max="6" width="20" customWidth="1"/>
  </cols>
  <sheetData>
    <row r="1" spans="1:6" ht="20" x14ac:dyDescent="0.2">
      <c r="A1" s="29" t="s">
        <v>0</v>
      </c>
      <c r="B1" s="21"/>
      <c r="C1" s="21"/>
      <c r="D1" s="21"/>
      <c r="E1" s="21"/>
      <c r="F1" s="21"/>
    </row>
    <row r="2" spans="1:6" x14ac:dyDescent="0.2">
      <c r="A2" s="26" t="s">
        <v>1</v>
      </c>
      <c r="B2" s="21"/>
      <c r="C2" s="21"/>
      <c r="D2" s="21"/>
      <c r="E2" s="21"/>
      <c r="F2" s="21"/>
    </row>
    <row r="3" spans="1:6" x14ac:dyDescent="0.2">
      <c r="A3" s="25" t="s">
        <v>2</v>
      </c>
      <c r="B3" s="21"/>
      <c r="C3" s="21"/>
      <c r="D3" s="21"/>
      <c r="E3" s="21"/>
      <c r="F3" s="21"/>
    </row>
    <row r="5" spans="1:6" ht="17" x14ac:dyDescent="0.2">
      <c r="A5" s="27" t="s">
        <v>3</v>
      </c>
      <c r="B5" s="21"/>
      <c r="C5" s="21"/>
      <c r="D5" s="21"/>
      <c r="E5" s="21"/>
      <c r="F5" s="21"/>
    </row>
    <row r="7" spans="1:6" x14ac:dyDescent="0.2">
      <c r="A7" s="1" t="s">
        <v>4</v>
      </c>
      <c r="B7" s="1" t="s">
        <v>5</v>
      </c>
      <c r="C7" s="1" t="s">
        <v>6</v>
      </c>
      <c r="D7" s="1" t="s">
        <v>7</v>
      </c>
    </row>
    <row r="8" spans="1:6" x14ac:dyDescent="0.2">
      <c r="A8" s="2" t="s">
        <v>8</v>
      </c>
      <c r="B8" s="3">
        <f>COUNTIF('Full Matrix'!C:C,"COVERED")</f>
        <v>74</v>
      </c>
      <c r="C8" s="4">
        <f>B8/$B$11</f>
        <v>0.74747474747474751</v>
      </c>
      <c r="D8" s="28" t="s">
        <v>9</v>
      </c>
      <c r="E8" s="23"/>
      <c r="F8" s="24"/>
    </row>
    <row r="9" spans="1:6" x14ac:dyDescent="0.2">
      <c r="A9" s="6" t="s">
        <v>10</v>
      </c>
      <c r="B9" s="3">
        <f>COUNTIF('Full Matrix'!C:C,"PARTIAL")</f>
        <v>24</v>
      </c>
      <c r="C9" s="4">
        <f>B9/$B$11</f>
        <v>0.24242424242424243</v>
      </c>
      <c r="D9" s="28" t="s">
        <v>11</v>
      </c>
      <c r="E9" s="23"/>
      <c r="F9" s="24"/>
    </row>
    <row r="10" spans="1:6" x14ac:dyDescent="0.2">
      <c r="A10" s="7" t="s">
        <v>12</v>
      </c>
      <c r="B10" s="3">
        <f>COUNTIF('Full Matrix'!C:C,"GAP")</f>
        <v>1</v>
      </c>
      <c r="C10" s="4">
        <f>B10/$B$11</f>
        <v>1.0101010101010102E-2</v>
      </c>
      <c r="D10" s="28" t="s">
        <v>13</v>
      </c>
      <c r="E10" s="23"/>
      <c r="F10" s="24"/>
    </row>
    <row r="11" spans="1:6" x14ac:dyDescent="0.2">
      <c r="A11" s="8" t="s">
        <v>14</v>
      </c>
      <c r="B11" s="9">
        <f>SUM(B8:B10)</f>
        <v>99</v>
      </c>
      <c r="C11" s="10">
        <v>1</v>
      </c>
      <c r="D11" s="22" t="s">
        <v>15</v>
      </c>
      <c r="E11" s="23"/>
      <c r="F11" s="24"/>
    </row>
    <row r="14" spans="1:6" ht="17" x14ac:dyDescent="0.2">
      <c r="A14" s="27" t="s">
        <v>16</v>
      </c>
      <c r="B14" s="21"/>
      <c r="C14" s="21"/>
      <c r="D14" s="21"/>
      <c r="E14" s="21"/>
      <c r="F14" s="21"/>
    </row>
    <row r="16" spans="1:6" x14ac:dyDescent="0.2">
      <c r="A16" s="20" t="s">
        <v>17</v>
      </c>
      <c r="B16" s="21"/>
      <c r="C16" s="21"/>
      <c r="D16" s="21"/>
      <c r="E16" s="21"/>
      <c r="F16" s="21"/>
    </row>
    <row r="17" spans="1:6" x14ac:dyDescent="0.2">
      <c r="A17" s="20" t="s">
        <v>18</v>
      </c>
      <c r="B17" s="21"/>
      <c r="C17" s="21"/>
      <c r="D17" s="21"/>
      <c r="E17" s="21"/>
      <c r="F17" s="21"/>
    </row>
    <row r="18" spans="1:6" x14ac:dyDescent="0.2">
      <c r="A18" s="20" t="s">
        <v>19</v>
      </c>
      <c r="B18" s="21"/>
      <c r="C18" s="21"/>
      <c r="D18" s="21"/>
      <c r="E18" s="21"/>
      <c r="F18" s="21"/>
    </row>
    <row r="19" spans="1:6" x14ac:dyDescent="0.2">
      <c r="A19" s="20" t="s">
        <v>20</v>
      </c>
      <c r="B19" s="21"/>
      <c r="C19" s="21"/>
      <c r="D19" s="21"/>
      <c r="E19" s="21"/>
      <c r="F19" s="21"/>
    </row>
    <row r="20" spans="1:6" x14ac:dyDescent="0.2">
      <c r="A20" s="20" t="s">
        <v>21</v>
      </c>
      <c r="B20" s="21"/>
      <c r="C20" s="21"/>
      <c r="D20" s="21"/>
      <c r="E20" s="21"/>
      <c r="F20" s="21"/>
    </row>
    <row r="21" spans="1:6" x14ac:dyDescent="0.2">
      <c r="A21" s="20" t="s">
        <v>22</v>
      </c>
      <c r="B21" s="21"/>
      <c r="C21" s="21"/>
      <c r="D21" s="21"/>
      <c r="E21" s="21"/>
      <c r="F21" s="21"/>
    </row>
    <row r="22" spans="1:6" x14ac:dyDescent="0.2">
      <c r="A22" s="20" t="s">
        <v>23</v>
      </c>
      <c r="B22" s="21"/>
      <c r="C22" s="21"/>
      <c r="D22" s="21"/>
      <c r="E22" s="21"/>
      <c r="F22" s="21"/>
    </row>
    <row r="23" spans="1:6" x14ac:dyDescent="0.2">
      <c r="A23" s="20" t="s">
        <v>24</v>
      </c>
      <c r="B23" s="21"/>
      <c r="C23" s="21"/>
      <c r="D23" s="21"/>
      <c r="E23" s="21"/>
      <c r="F23" s="21"/>
    </row>
    <row r="24" spans="1:6" x14ac:dyDescent="0.2">
      <c r="A24" s="20" t="s">
        <v>25</v>
      </c>
      <c r="B24" s="21"/>
      <c r="C24" s="21"/>
      <c r="D24" s="21"/>
      <c r="E24" s="21"/>
      <c r="F24" s="21"/>
    </row>
    <row r="25" spans="1:6" x14ac:dyDescent="0.2">
      <c r="A25" s="20" t="s">
        <v>26</v>
      </c>
      <c r="B25" s="21"/>
      <c r="C25" s="21"/>
      <c r="D25" s="21"/>
      <c r="E25" s="21"/>
      <c r="F25" s="21"/>
    </row>
  </sheetData>
  <mergeCells count="19">
    <mergeCell ref="A24:F24"/>
    <mergeCell ref="A1:F1"/>
    <mergeCell ref="A25:F25"/>
    <mergeCell ref="A2:F2"/>
    <mergeCell ref="A14:F14"/>
    <mergeCell ref="A5:F5"/>
    <mergeCell ref="A23:F23"/>
    <mergeCell ref="D9:F9"/>
    <mergeCell ref="A17:F17"/>
    <mergeCell ref="A22:F22"/>
    <mergeCell ref="A20:F20"/>
    <mergeCell ref="D8:F8"/>
    <mergeCell ref="A19:F19"/>
    <mergeCell ref="D10:F10"/>
    <mergeCell ref="A16:F16"/>
    <mergeCell ref="D11:F11"/>
    <mergeCell ref="A18:F18"/>
    <mergeCell ref="A3:F3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00"/>
  <sheetViews>
    <sheetView showGridLines="0" tabSelected="1" workbookViewId="0">
      <pane ySplit="1" topLeftCell="A2" activePane="bottomLeft" state="frozen"/>
      <selection pane="bottomLeft" activeCell="E108" sqref="E108"/>
    </sheetView>
  </sheetViews>
  <sheetFormatPr baseColWidth="10" defaultColWidth="8.83203125" defaultRowHeight="15" x14ac:dyDescent="0.2"/>
  <cols>
    <col min="1" max="1" width="32" customWidth="1"/>
    <col min="2" max="2" width="55" customWidth="1"/>
    <col min="3" max="3" width="11" customWidth="1"/>
    <col min="4" max="4" width="28" customWidth="1"/>
    <col min="5" max="5" width="38" customWidth="1"/>
    <col min="6" max="6" width="55" customWidth="1"/>
    <col min="7" max="7" width="10" customWidth="1"/>
  </cols>
  <sheetData>
    <row r="1" spans="1:7" x14ac:dyDescent="0.2">
      <c r="A1" s="1" t="s">
        <v>27</v>
      </c>
      <c r="B1" s="1" t="s">
        <v>28</v>
      </c>
      <c r="C1" s="1" t="s">
        <v>4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36" hidden="1" customHeight="1" x14ac:dyDescent="0.2">
      <c r="A2" s="11" t="s">
        <v>33</v>
      </c>
      <c r="B2" s="11" t="s">
        <v>34</v>
      </c>
      <c r="C2" s="2" t="s">
        <v>8</v>
      </c>
      <c r="D2" s="11" t="s">
        <v>35</v>
      </c>
      <c r="E2" s="11" t="s">
        <v>36</v>
      </c>
      <c r="F2" s="11" t="s">
        <v>37</v>
      </c>
      <c r="G2" s="11" t="s">
        <v>38</v>
      </c>
    </row>
    <row r="3" spans="1:7" ht="36" hidden="1" customHeight="1" x14ac:dyDescent="0.2">
      <c r="A3" s="11" t="s">
        <v>33</v>
      </c>
      <c r="B3" s="11" t="s">
        <v>39</v>
      </c>
      <c r="C3" s="2" t="s">
        <v>8</v>
      </c>
      <c r="D3" s="11" t="s">
        <v>40</v>
      </c>
      <c r="E3" s="11" t="s">
        <v>41</v>
      </c>
      <c r="F3" s="11" t="s">
        <v>42</v>
      </c>
      <c r="G3" s="11" t="s">
        <v>38</v>
      </c>
    </row>
    <row r="4" spans="1:7" ht="36" hidden="1" customHeight="1" x14ac:dyDescent="0.2">
      <c r="A4" s="11" t="s">
        <v>33</v>
      </c>
      <c r="B4" s="11" t="s">
        <v>43</v>
      </c>
      <c r="C4" s="2" t="s">
        <v>8</v>
      </c>
      <c r="D4" s="11" t="s">
        <v>44</v>
      </c>
      <c r="E4" s="11" t="s">
        <v>45</v>
      </c>
      <c r="F4" s="11" t="s">
        <v>46</v>
      </c>
      <c r="G4" s="11" t="s">
        <v>38</v>
      </c>
    </row>
    <row r="5" spans="1:7" ht="36" hidden="1" customHeight="1" x14ac:dyDescent="0.2">
      <c r="A5" s="11" t="s">
        <v>33</v>
      </c>
      <c r="B5" s="11" t="s">
        <v>47</v>
      </c>
      <c r="C5" s="2" t="s">
        <v>8</v>
      </c>
      <c r="D5" s="11" t="s">
        <v>48</v>
      </c>
      <c r="E5" s="11" t="s">
        <v>49</v>
      </c>
      <c r="F5" s="11" t="s">
        <v>50</v>
      </c>
      <c r="G5" s="11" t="s">
        <v>38</v>
      </c>
    </row>
    <row r="6" spans="1:7" ht="36" hidden="1" customHeight="1" x14ac:dyDescent="0.2">
      <c r="A6" s="11" t="s">
        <v>33</v>
      </c>
      <c r="B6" s="11" t="s">
        <v>51</v>
      </c>
      <c r="C6" s="6" t="s">
        <v>10</v>
      </c>
      <c r="D6" s="11" t="s">
        <v>52</v>
      </c>
      <c r="E6" s="11" t="s">
        <v>53</v>
      </c>
      <c r="F6" s="11" t="s">
        <v>54</v>
      </c>
      <c r="G6" s="11" t="s">
        <v>55</v>
      </c>
    </row>
    <row r="7" spans="1:7" ht="36" hidden="1" customHeight="1" x14ac:dyDescent="0.2">
      <c r="A7" s="11" t="s">
        <v>56</v>
      </c>
      <c r="B7" s="11" t="s">
        <v>57</v>
      </c>
      <c r="C7" s="2" t="s">
        <v>8</v>
      </c>
      <c r="D7" s="11" t="s">
        <v>58</v>
      </c>
      <c r="E7" s="11" t="s">
        <v>59</v>
      </c>
      <c r="F7" s="11" t="s">
        <v>60</v>
      </c>
      <c r="G7" s="11" t="s">
        <v>38</v>
      </c>
    </row>
    <row r="8" spans="1:7" ht="36" customHeight="1" x14ac:dyDescent="0.2">
      <c r="A8" s="11" t="s">
        <v>56</v>
      </c>
      <c r="B8" s="11" t="s">
        <v>61</v>
      </c>
      <c r="C8" s="6" t="s">
        <v>10</v>
      </c>
      <c r="D8" s="11" t="s">
        <v>62</v>
      </c>
      <c r="E8" s="11" t="s">
        <v>63</v>
      </c>
      <c r="F8" s="11" t="s">
        <v>64</v>
      </c>
      <c r="G8" s="11" t="s">
        <v>65</v>
      </c>
    </row>
    <row r="9" spans="1:7" ht="36" hidden="1" customHeight="1" x14ac:dyDescent="0.2">
      <c r="A9" s="11" t="s">
        <v>56</v>
      </c>
      <c r="B9" s="11" t="s">
        <v>66</v>
      </c>
      <c r="C9" s="2" t="s">
        <v>8</v>
      </c>
      <c r="D9" s="11" t="s">
        <v>62</v>
      </c>
      <c r="E9" s="11" t="s">
        <v>67</v>
      </c>
      <c r="F9" s="11" t="s">
        <v>68</v>
      </c>
      <c r="G9" s="11" t="s">
        <v>38</v>
      </c>
    </row>
    <row r="10" spans="1:7" ht="36" hidden="1" customHeight="1" x14ac:dyDescent="0.2">
      <c r="A10" s="11" t="s">
        <v>56</v>
      </c>
      <c r="B10" s="11" t="s">
        <v>69</v>
      </c>
      <c r="C10" s="2" t="s">
        <v>8</v>
      </c>
      <c r="D10" s="11" t="s">
        <v>70</v>
      </c>
      <c r="E10" s="11" t="s">
        <v>71</v>
      </c>
      <c r="F10" s="11" t="s">
        <v>72</v>
      </c>
      <c r="G10" s="11" t="s">
        <v>38</v>
      </c>
    </row>
    <row r="11" spans="1:7" ht="36" hidden="1" customHeight="1" x14ac:dyDescent="0.2">
      <c r="A11" s="11" t="s">
        <v>56</v>
      </c>
      <c r="B11" s="11" t="s">
        <v>73</v>
      </c>
      <c r="C11" s="2" t="s">
        <v>8</v>
      </c>
      <c r="D11" s="11" t="s">
        <v>74</v>
      </c>
      <c r="E11" s="11" t="s">
        <v>75</v>
      </c>
      <c r="F11" s="11" t="s">
        <v>76</v>
      </c>
      <c r="G11" s="11" t="s">
        <v>38</v>
      </c>
    </row>
    <row r="12" spans="1:7" ht="36" hidden="1" customHeight="1" x14ac:dyDescent="0.2">
      <c r="A12" s="11" t="s">
        <v>56</v>
      </c>
      <c r="B12" s="11" t="s">
        <v>77</v>
      </c>
      <c r="C12" s="6" t="s">
        <v>10</v>
      </c>
      <c r="D12" s="11" t="s">
        <v>78</v>
      </c>
      <c r="E12" s="11" t="s">
        <v>79</v>
      </c>
      <c r="F12" s="11" t="s">
        <v>80</v>
      </c>
      <c r="G12" s="11" t="s">
        <v>65</v>
      </c>
    </row>
    <row r="13" spans="1:7" ht="36" hidden="1" customHeight="1" x14ac:dyDescent="0.2">
      <c r="A13" s="11" t="s">
        <v>56</v>
      </c>
      <c r="B13" s="11" t="s">
        <v>81</v>
      </c>
      <c r="C13" s="2" t="s">
        <v>8</v>
      </c>
      <c r="D13" s="11" t="s">
        <v>82</v>
      </c>
      <c r="E13" s="11" t="s">
        <v>83</v>
      </c>
      <c r="F13" s="11" t="s">
        <v>84</v>
      </c>
      <c r="G13" s="11" t="s">
        <v>38</v>
      </c>
    </row>
    <row r="14" spans="1:7" ht="36" hidden="1" customHeight="1" x14ac:dyDescent="0.2">
      <c r="A14" s="11" t="s">
        <v>85</v>
      </c>
      <c r="B14" s="11" t="s">
        <v>86</v>
      </c>
      <c r="C14" s="2" t="s">
        <v>8</v>
      </c>
      <c r="D14" s="11" t="s">
        <v>87</v>
      </c>
      <c r="E14" s="11" t="s">
        <v>88</v>
      </c>
      <c r="F14" s="11" t="s">
        <v>89</v>
      </c>
      <c r="G14" s="11" t="s">
        <v>38</v>
      </c>
    </row>
    <row r="15" spans="1:7" ht="36" hidden="1" customHeight="1" x14ac:dyDescent="0.2">
      <c r="A15" s="11" t="s">
        <v>85</v>
      </c>
      <c r="B15" s="11" t="s">
        <v>90</v>
      </c>
      <c r="C15" s="2" t="s">
        <v>8</v>
      </c>
      <c r="D15" s="11" t="s">
        <v>87</v>
      </c>
      <c r="E15" s="11" t="s">
        <v>88</v>
      </c>
      <c r="F15" s="11" t="s">
        <v>91</v>
      </c>
      <c r="G15" s="11" t="s">
        <v>38</v>
      </c>
    </row>
    <row r="16" spans="1:7" ht="36" hidden="1" customHeight="1" x14ac:dyDescent="0.2">
      <c r="A16" s="11" t="s">
        <v>85</v>
      </c>
      <c r="B16" s="11" t="s">
        <v>92</v>
      </c>
      <c r="C16" s="2" t="s">
        <v>8</v>
      </c>
      <c r="D16" s="11" t="s">
        <v>93</v>
      </c>
      <c r="E16" s="11" t="s">
        <v>94</v>
      </c>
      <c r="F16" s="11" t="s">
        <v>95</v>
      </c>
      <c r="G16" s="11" t="s">
        <v>38</v>
      </c>
    </row>
    <row r="17" spans="1:7" ht="36" hidden="1" customHeight="1" x14ac:dyDescent="0.2">
      <c r="A17" s="11" t="s">
        <v>96</v>
      </c>
      <c r="B17" s="11" t="s">
        <v>97</v>
      </c>
      <c r="C17" s="2" t="s">
        <v>8</v>
      </c>
      <c r="D17" s="11" t="s">
        <v>98</v>
      </c>
      <c r="E17" s="11" t="s">
        <v>99</v>
      </c>
      <c r="F17" s="11" t="s">
        <v>100</v>
      </c>
      <c r="G17" s="11" t="s">
        <v>38</v>
      </c>
    </row>
    <row r="18" spans="1:7" ht="36" hidden="1" customHeight="1" x14ac:dyDescent="0.2">
      <c r="A18" s="11" t="s">
        <v>96</v>
      </c>
      <c r="B18" s="11" t="s">
        <v>101</v>
      </c>
      <c r="C18" s="6" t="s">
        <v>10</v>
      </c>
      <c r="D18" s="11" t="s">
        <v>98</v>
      </c>
      <c r="E18" s="11" t="s">
        <v>102</v>
      </c>
      <c r="F18" s="11" t="s">
        <v>103</v>
      </c>
      <c r="G18" s="11" t="s">
        <v>65</v>
      </c>
    </row>
    <row r="19" spans="1:7" ht="36" hidden="1" customHeight="1" x14ac:dyDescent="0.2">
      <c r="A19" s="11" t="s">
        <v>96</v>
      </c>
      <c r="B19" s="11" t="s">
        <v>104</v>
      </c>
      <c r="C19" s="2" t="s">
        <v>8</v>
      </c>
      <c r="D19" s="11" t="s">
        <v>105</v>
      </c>
      <c r="E19" s="11" t="s">
        <v>106</v>
      </c>
      <c r="F19" s="11" t="s">
        <v>107</v>
      </c>
      <c r="G19" s="11" t="s">
        <v>38</v>
      </c>
    </row>
    <row r="20" spans="1:7" ht="36" hidden="1" customHeight="1" x14ac:dyDescent="0.2">
      <c r="A20" s="11" t="s">
        <v>96</v>
      </c>
      <c r="B20" s="11" t="s">
        <v>108</v>
      </c>
      <c r="C20" s="6" t="s">
        <v>10</v>
      </c>
      <c r="D20" s="11" t="s">
        <v>109</v>
      </c>
      <c r="E20" s="11" t="s">
        <v>110</v>
      </c>
      <c r="F20" s="11" t="s">
        <v>111</v>
      </c>
      <c r="G20" s="11" t="s">
        <v>65</v>
      </c>
    </row>
    <row r="21" spans="1:7" ht="36" hidden="1" customHeight="1" x14ac:dyDescent="0.2">
      <c r="A21" s="11" t="s">
        <v>96</v>
      </c>
      <c r="B21" s="11" t="s">
        <v>112</v>
      </c>
      <c r="C21" s="2" t="s">
        <v>8</v>
      </c>
      <c r="D21" s="11" t="s">
        <v>105</v>
      </c>
      <c r="E21" s="11" t="s">
        <v>113</v>
      </c>
      <c r="F21" s="11" t="s">
        <v>114</v>
      </c>
      <c r="G21" s="11" t="s">
        <v>38</v>
      </c>
    </row>
    <row r="22" spans="1:7" ht="36" hidden="1" customHeight="1" x14ac:dyDescent="0.2">
      <c r="A22" s="11" t="s">
        <v>96</v>
      </c>
      <c r="B22" s="11" t="s">
        <v>115</v>
      </c>
      <c r="C22" s="2" t="s">
        <v>8</v>
      </c>
      <c r="D22" s="11" t="s">
        <v>116</v>
      </c>
      <c r="E22" s="11" t="s">
        <v>117</v>
      </c>
      <c r="F22" s="11" t="s">
        <v>118</v>
      </c>
      <c r="G22" s="11" t="s">
        <v>38</v>
      </c>
    </row>
    <row r="23" spans="1:7" ht="36" customHeight="1" x14ac:dyDescent="0.2">
      <c r="A23" s="11" t="s">
        <v>96</v>
      </c>
      <c r="B23" s="11" t="s">
        <v>119</v>
      </c>
      <c r="C23" s="6" t="s">
        <v>10</v>
      </c>
      <c r="D23" s="11" t="s">
        <v>116</v>
      </c>
      <c r="E23" s="11" t="s">
        <v>120</v>
      </c>
      <c r="F23" s="11" t="s">
        <v>121</v>
      </c>
      <c r="G23" s="11" t="s">
        <v>55</v>
      </c>
    </row>
    <row r="24" spans="1:7" ht="36" hidden="1" customHeight="1" x14ac:dyDescent="0.2">
      <c r="A24" s="11" t="s">
        <v>96</v>
      </c>
      <c r="B24" s="11" t="s">
        <v>122</v>
      </c>
      <c r="C24" s="2" t="s">
        <v>8</v>
      </c>
      <c r="D24" s="11" t="s">
        <v>116</v>
      </c>
      <c r="E24" s="11" t="s">
        <v>123</v>
      </c>
      <c r="F24" s="11" t="s">
        <v>124</v>
      </c>
      <c r="G24" s="11" t="s">
        <v>38</v>
      </c>
    </row>
    <row r="25" spans="1:7" ht="36" hidden="1" customHeight="1" x14ac:dyDescent="0.2">
      <c r="A25" s="11" t="s">
        <v>96</v>
      </c>
      <c r="B25" s="11" t="s">
        <v>125</v>
      </c>
      <c r="C25" s="2" t="s">
        <v>8</v>
      </c>
      <c r="D25" s="11" t="s">
        <v>98</v>
      </c>
      <c r="E25" s="11" t="s">
        <v>126</v>
      </c>
      <c r="F25" s="11" t="s">
        <v>127</v>
      </c>
      <c r="G25" s="11" t="s">
        <v>38</v>
      </c>
    </row>
    <row r="26" spans="1:7" ht="36" hidden="1" customHeight="1" x14ac:dyDescent="0.2">
      <c r="A26" s="11" t="s">
        <v>96</v>
      </c>
      <c r="B26" s="11" t="s">
        <v>128</v>
      </c>
      <c r="C26" s="2" t="s">
        <v>8</v>
      </c>
      <c r="D26" s="11" t="s">
        <v>105</v>
      </c>
      <c r="E26" s="11" t="s">
        <v>129</v>
      </c>
      <c r="F26" s="11" t="s">
        <v>130</v>
      </c>
      <c r="G26" s="11" t="s">
        <v>38</v>
      </c>
    </row>
    <row r="27" spans="1:7" ht="36" hidden="1" customHeight="1" x14ac:dyDescent="0.2">
      <c r="A27" s="11" t="s">
        <v>96</v>
      </c>
      <c r="B27" s="11" t="s">
        <v>131</v>
      </c>
      <c r="C27" s="2" t="s">
        <v>8</v>
      </c>
      <c r="D27" s="11" t="s">
        <v>116</v>
      </c>
      <c r="E27" s="11" t="s">
        <v>132</v>
      </c>
      <c r="F27" s="11" t="s">
        <v>133</v>
      </c>
      <c r="G27" s="11" t="s">
        <v>38</v>
      </c>
    </row>
    <row r="28" spans="1:7" ht="36" hidden="1" customHeight="1" x14ac:dyDescent="0.2">
      <c r="A28" s="11" t="s">
        <v>96</v>
      </c>
      <c r="B28" s="11" t="s">
        <v>134</v>
      </c>
      <c r="C28" s="6" t="s">
        <v>10</v>
      </c>
      <c r="D28" s="11" t="s">
        <v>78</v>
      </c>
      <c r="E28" s="11" t="s">
        <v>79</v>
      </c>
      <c r="F28" s="11" t="s">
        <v>135</v>
      </c>
      <c r="G28" s="11" t="s">
        <v>65</v>
      </c>
    </row>
    <row r="29" spans="1:7" ht="36" hidden="1" customHeight="1" x14ac:dyDescent="0.2">
      <c r="A29" s="11" t="s">
        <v>96</v>
      </c>
      <c r="B29" s="11" t="s">
        <v>136</v>
      </c>
      <c r="C29" s="2" t="s">
        <v>8</v>
      </c>
      <c r="D29" s="11" t="s">
        <v>116</v>
      </c>
      <c r="E29" s="11" t="s">
        <v>137</v>
      </c>
      <c r="F29" s="11" t="s">
        <v>138</v>
      </c>
      <c r="G29" s="11" t="s">
        <v>38</v>
      </c>
    </row>
    <row r="30" spans="1:7" ht="36" hidden="1" customHeight="1" x14ac:dyDescent="0.2">
      <c r="A30" s="11" t="s">
        <v>96</v>
      </c>
      <c r="B30" s="11" t="s">
        <v>139</v>
      </c>
      <c r="C30" s="2" t="s">
        <v>8</v>
      </c>
      <c r="D30" s="11" t="s">
        <v>116</v>
      </c>
      <c r="E30" s="11" t="s">
        <v>140</v>
      </c>
      <c r="F30" s="11" t="s">
        <v>141</v>
      </c>
      <c r="G30" s="11" t="s">
        <v>38</v>
      </c>
    </row>
    <row r="31" spans="1:7" ht="36" hidden="1" customHeight="1" x14ac:dyDescent="0.2">
      <c r="A31" s="11" t="s">
        <v>96</v>
      </c>
      <c r="B31" s="11" t="s">
        <v>142</v>
      </c>
      <c r="C31" s="2" t="s">
        <v>8</v>
      </c>
      <c r="D31" s="11" t="s">
        <v>116</v>
      </c>
      <c r="E31" s="11" t="s">
        <v>143</v>
      </c>
      <c r="F31" s="11" t="s">
        <v>144</v>
      </c>
      <c r="G31" s="11" t="s">
        <v>38</v>
      </c>
    </row>
    <row r="32" spans="1:7" ht="36" hidden="1" customHeight="1" x14ac:dyDescent="0.2">
      <c r="A32" s="11" t="s">
        <v>145</v>
      </c>
      <c r="B32" s="11" t="s">
        <v>146</v>
      </c>
      <c r="C32" s="6" t="s">
        <v>10</v>
      </c>
      <c r="D32" s="11" t="s">
        <v>147</v>
      </c>
      <c r="E32" s="11" t="s">
        <v>148</v>
      </c>
      <c r="F32" s="11" t="s">
        <v>149</v>
      </c>
      <c r="G32" s="11" t="s">
        <v>65</v>
      </c>
    </row>
    <row r="33" spans="1:7" ht="36" hidden="1" customHeight="1" x14ac:dyDescent="0.2">
      <c r="A33" s="11" t="s">
        <v>145</v>
      </c>
      <c r="B33" s="11" t="s">
        <v>150</v>
      </c>
      <c r="C33" s="2" t="s">
        <v>8</v>
      </c>
      <c r="D33" s="11" t="s">
        <v>35</v>
      </c>
      <c r="E33" s="11" t="s">
        <v>151</v>
      </c>
      <c r="F33" s="11" t="s">
        <v>152</v>
      </c>
      <c r="G33" s="11" t="s">
        <v>38</v>
      </c>
    </row>
    <row r="34" spans="1:7" ht="36" hidden="1" customHeight="1" x14ac:dyDescent="0.2">
      <c r="A34" s="11" t="s">
        <v>145</v>
      </c>
      <c r="B34" s="11" t="s">
        <v>153</v>
      </c>
      <c r="C34" s="6" t="s">
        <v>10</v>
      </c>
      <c r="D34" s="11" t="s">
        <v>154</v>
      </c>
      <c r="E34" s="11" t="s">
        <v>155</v>
      </c>
      <c r="F34" s="11" t="s">
        <v>156</v>
      </c>
      <c r="G34" s="11" t="s">
        <v>65</v>
      </c>
    </row>
    <row r="35" spans="1:7" ht="36" hidden="1" customHeight="1" x14ac:dyDescent="0.2">
      <c r="A35" s="11" t="s">
        <v>145</v>
      </c>
      <c r="B35" s="11" t="s">
        <v>157</v>
      </c>
      <c r="C35" s="6" t="s">
        <v>10</v>
      </c>
      <c r="D35" s="11" t="s">
        <v>35</v>
      </c>
      <c r="E35" s="11" t="s">
        <v>148</v>
      </c>
      <c r="F35" s="11" t="s">
        <v>158</v>
      </c>
      <c r="G35" s="11" t="s">
        <v>65</v>
      </c>
    </row>
    <row r="36" spans="1:7" ht="36" hidden="1" customHeight="1" x14ac:dyDescent="0.2">
      <c r="A36" s="11" t="s">
        <v>145</v>
      </c>
      <c r="B36" s="11" t="s">
        <v>159</v>
      </c>
      <c r="C36" s="2" t="s">
        <v>8</v>
      </c>
      <c r="D36" s="11" t="s">
        <v>105</v>
      </c>
      <c r="E36" s="11" t="s">
        <v>160</v>
      </c>
      <c r="F36" s="11" t="s">
        <v>161</v>
      </c>
      <c r="G36" s="11" t="s">
        <v>38</v>
      </c>
    </row>
    <row r="37" spans="1:7" ht="36" hidden="1" customHeight="1" x14ac:dyDescent="0.2">
      <c r="A37" s="11" t="s">
        <v>162</v>
      </c>
      <c r="B37" s="11" t="s">
        <v>163</v>
      </c>
      <c r="C37" s="2" t="s">
        <v>8</v>
      </c>
      <c r="D37" s="11" t="s">
        <v>164</v>
      </c>
      <c r="E37" s="11" t="s">
        <v>165</v>
      </c>
      <c r="F37" s="11" t="s">
        <v>166</v>
      </c>
      <c r="G37" s="11" t="s">
        <v>38</v>
      </c>
    </row>
    <row r="38" spans="1:7" ht="36" hidden="1" customHeight="1" x14ac:dyDescent="0.2">
      <c r="A38" s="11" t="s">
        <v>162</v>
      </c>
      <c r="B38" s="11" t="s">
        <v>167</v>
      </c>
      <c r="C38" s="2" t="s">
        <v>8</v>
      </c>
      <c r="D38" s="11" t="s">
        <v>168</v>
      </c>
      <c r="E38" s="11" t="s">
        <v>169</v>
      </c>
      <c r="F38" s="11" t="s">
        <v>170</v>
      </c>
      <c r="G38" s="11" t="s">
        <v>38</v>
      </c>
    </row>
    <row r="39" spans="1:7" ht="36" hidden="1" customHeight="1" x14ac:dyDescent="0.2">
      <c r="A39" s="11" t="s">
        <v>162</v>
      </c>
      <c r="B39" s="11" t="s">
        <v>171</v>
      </c>
      <c r="C39" s="2" t="s">
        <v>8</v>
      </c>
      <c r="D39" s="11" t="s">
        <v>105</v>
      </c>
      <c r="E39" s="11" t="s">
        <v>172</v>
      </c>
      <c r="F39" s="11" t="s">
        <v>173</v>
      </c>
      <c r="G39" s="11" t="s">
        <v>38</v>
      </c>
    </row>
    <row r="40" spans="1:7" ht="36" hidden="1" customHeight="1" x14ac:dyDescent="0.2">
      <c r="A40" s="11" t="s">
        <v>174</v>
      </c>
      <c r="B40" s="11" t="s">
        <v>175</v>
      </c>
      <c r="C40" s="2" t="s">
        <v>8</v>
      </c>
      <c r="D40" s="11" t="s">
        <v>40</v>
      </c>
      <c r="E40" s="11" t="s">
        <v>176</v>
      </c>
      <c r="F40" s="11" t="s">
        <v>177</v>
      </c>
      <c r="G40" s="11" t="s">
        <v>38</v>
      </c>
    </row>
    <row r="41" spans="1:7" ht="36" hidden="1" customHeight="1" x14ac:dyDescent="0.2">
      <c r="A41" s="11" t="s">
        <v>174</v>
      </c>
      <c r="B41" s="11" t="s">
        <v>178</v>
      </c>
      <c r="C41" s="6" t="s">
        <v>10</v>
      </c>
      <c r="D41" s="11" t="s">
        <v>40</v>
      </c>
      <c r="E41" s="11" t="s">
        <v>179</v>
      </c>
      <c r="F41" s="11" t="s">
        <v>180</v>
      </c>
      <c r="G41" s="11" t="s">
        <v>55</v>
      </c>
    </row>
    <row r="42" spans="1:7" ht="36" hidden="1" customHeight="1" x14ac:dyDescent="0.2">
      <c r="A42" s="11" t="s">
        <v>174</v>
      </c>
      <c r="B42" s="11" t="s">
        <v>181</v>
      </c>
      <c r="C42" s="6" t="s">
        <v>10</v>
      </c>
      <c r="D42" s="11" t="s">
        <v>182</v>
      </c>
      <c r="E42" s="11" t="s">
        <v>183</v>
      </c>
      <c r="F42" s="11" t="s">
        <v>184</v>
      </c>
      <c r="G42" s="11" t="s">
        <v>65</v>
      </c>
    </row>
    <row r="43" spans="1:7" ht="36" hidden="1" customHeight="1" x14ac:dyDescent="0.2">
      <c r="A43" s="11" t="s">
        <v>185</v>
      </c>
      <c r="B43" s="11" t="s">
        <v>186</v>
      </c>
      <c r="C43" s="2" t="s">
        <v>8</v>
      </c>
      <c r="D43" s="11" t="s">
        <v>187</v>
      </c>
      <c r="E43" s="11" t="s">
        <v>188</v>
      </c>
      <c r="F43" s="11" t="s">
        <v>189</v>
      </c>
      <c r="G43" s="11" t="s">
        <v>38</v>
      </c>
    </row>
    <row r="44" spans="1:7" ht="36" hidden="1" customHeight="1" x14ac:dyDescent="0.2">
      <c r="A44" s="11" t="s">
        <v>185</v>
      </c>
      <c r="B44" s="11" t="s">
        <v>190</v>
      </c>
      <c r="C44" s="2" t="s">
        <v>8</v>
      </c>
      <c r="D44" s="11" t="s">
        <v>187</v>
      </c>
      <c r="E44" s="11" t="s">
        <v>191</v>
      </c>
      <c r="F44" s="11" t="s">
        <v>192</v>
      </c>
      <c r="G44" s="11" t="s">
        <v>38</v>
      </c>
    </row>
    <row r="45" spans="1:7" ht="36" hidden="1" customHeight="1" x14ac:dyDescent="0.2">
      <c r="A45" s="11" t="s">
        <v>185</v>
      </c>
      <c r="B45" s="11" t="s">
        <v>193</v>
      </c>
      <c r="C45" s="2" t="s">
        <v>8</v>
      </c>
      <c r="D45" s="11" t="s">
        <v>187</v>
      </c>
      <c r="E45" s="11" t="s">
        <v>194</v>
      </c>
      <c r="F45" s="11" t="s">
        <v>195</v>
      </c>
      <c r="G45" s="11" t="s">
        <v>38</v>
      </c>
    </row>
    <row r="46" spans="1:7" ht="36" hidden="1" customHeight="1" x14ac:dyDescent="0.2">
      <c r="A46" s="11" t="s">
        <v>196</v>
      </c>
      <c r="B46" s="11" t="s">
        <v>197</v>
      </c>
      <c r="C46" s="2" t="s">
        <v>8</v>
      </c>
      <c r="D46" s="11" t="s">
        <v>198</v>
      </c>
      <c r="E46" s="11" t="s">
        <v>199</v>
      </c>
      <c r="F46" s="11" t="s">
        <v>200</v>
      </c>
      <c r="G46" s="11" t="s">
        <v>38</v>
      </c>
    </row>
    <row r="47" spans="1:7" ht="36" hidden="1" customHeight="1" x14ac:dyDescent="0.2">
      <c r="A47" s="11" t="s">
        <v>196</v>
      </c>
      <c r="B47" s="11" t="s">
        <v>201</v>
      </c>
      <c r="C47" s="2" t="s">
        <v>8</v>
      </c>
      <c r="D47" s="11" t="s">
        <v>198</v>
      </c>
      <c r="E47" s="11" t="s">
        <v>199</v>
      </c>
      <c r="F47" s="11" t="s">
        <v>202</v>
      </c>
      <c r="G47" s="11" t="s">
        <v>38</v>
      </c>
    </row>
    <row r="48" spans="1:7" ht="36" hidden="1" customHeight="1" x14ac:dyDescent="0.2">
      <c r="A48" s="11" t="s">
        <v>196</v>
      </c>
      <c r="B48" s="11" t="s">
        <v>203</v>
      </c>
      <c r="C48" s="2" t="s">
        <v>8</v>
      </c>
      <c r="D48" s="11" t="s">
        <v>198</v>
      </c>
      <c r="E48" s="11" t="s">
        <v>204</v>
      </c>
      <c r="F48" s="11" t="s">
        <v>205</v>
      </c>
      <c r="G48" s="11" t="s">
        <v>38</v>
      </c>
    </row>
    <row r="49" spans="1:7" ht="36" hidden="1" customHeight="1" x14ac:dyDescent="0.2">
      <c r="A49" s="11" t="s">
        <v>206</v>
      </c>
      <c r="B49" s="11" t="s">
        <v>207</v>
      </c>
      <c r="C49" s="2" t="s">
        <v>8</v>
      </c>
      <c r="D49" s="11" t="s">
        <v>105</v>
      </c>
      <c r="E49" s="11" t="s">
        <v>208</v>
      </c>
      <c r="F49" s="11" t="s">
        <v>209</v>
      </c>
      <c r="G49" s="11" t="s">
        <v>38</v>
      </c>
    </row>
    <row r="50" spans="1:7" ht="36" hidden="1" customHeight="1" x14ac:dyDescent="0.2">
      <c r="A50" s="11" t="s">
        <v>206</v>
      </c>
      <c r="B50" s="11" t="s">
        <v>210</v>
      </c>
      <c r="C50" s="2" t="s">
        <v>8</v>
      </c>
      <c r="D50" s="11" t="s">
        <v>105</v>
      </c>
      <c r="E50" s="11" t="s">
        <v>211</v>
      </c>
      <c r="F50" s="11" t="s">
        <v>212</v>
      </c>
      <c r="G50" s="11" t="s">
        <v>38</v>
      </c>
    </row>
    <row r="51" spans="1:7" ht="36" hidden="1" customHeight="1" x14ac:dyDescent="0.2">
      <c r="A51" s="11" t="s">
        <v>206</v>
      </c>
      <c r="B51" s="11" t="s">
        <v>213</v>
      </c>
      <c r="C51" s="2" t="s">
        <v>8</v>
      </c>
      <c r="D51" s="11" t="s">
        <v>105</v>
      </c>
      <c r="E51" s="11" t="s">
        <v>214</v>
      </c>
      <c r="F51" s="11" t="s">
        <v>215</v>
      </c>
      <c r="G51" s="11" t="s">
        <v>38</v>
      </c>
    </row>
    <row r="52" spans="1:7" ht="36" hidden="1" customHeight="1" x14ac:dyDescent="0.2">
      <c r="A52" s="11" t="s">
        <v>206</v>
      </c>
      <c r="B52" s="11" t="s">
        <v>216</v>
      </c>
      <c r="C52" s="2" t="s">
        <v>8</v>
      </c>
      <c r="D52" s="11" t="s">
        <v>105</v>
      </c>
      <c r="E52" s="11" t="s">
        <v>217</v>
      </c>
      <c r="F52" s="11" t="s">
        <v>218</v>
      </c>
      <c r="G52" s="11" t="s">
        <v>38</v>
      </c>
    </row>
    <row r="53" spans="1:7" ht="36" hidden="1" customHeight="1" x14ac:dyDescent="0.2">
      <c r="A53" s="11" t="s">
        <v>219</v>
      </c>
      <c r="B53" s="11" t="s">
        <v>220</v>
      </c>
      <c r="C53" s="2" t="s">
        <v>8</v>
      </c>
      <c r="D53" s="11" t="s">
        <v>105</v>
      </c>
      <c r="E53" s="11" t="s">
        <v>221</v>
      </c>
      <c r="F53" s="11" t="s">
        <v>222</v>
      </c>
      <c r="G53" s="11" t="s">
        <v>38</v>
      </c>
    </row>
    <row r="54" spans="1:7" ht="36" hidden="1" customHeight="1" x14ac:dyDescent="0.2">
      <c r="A54" s="11" t="s">
        <v>219</v>
      </c>
      <c r="B54" s="11" t="s">
        <v>223</v>
      </c>
      <c r="C54" s="2" t="s">
        <v>8</v>
      </c>
      <c r="D54" s="11" t="s">
        <v>105</v>
      </c>
      <c r="E54" s="11" t="s">
        <v>224</v>
      </c>
      <c r="F54" s="11" t="s">
        <v>225</v>
      </c>
      <c r="G54" s="11" t="s">
        <v>38</v>
      </c>
    </row>
    <row r="55" spans="1:7" ht="36" hidden="1" customHeight="1" x14ac:dyDescent="0.2">
      <c r="A55" s="11" t="s">
        <v>219</v>
      </c>
      <c r="B55" s="11" t="s">
        <v>226</v>
      </c>
      <c r="C55" s="2" t="s">
        <v>8</v>
      </c>
      <c r="D55" s="11" t="s">
        <v>105</v>
      </c>
      <c r="E55" s="11" t="s">
        <v>221</v>
      </c>
      <c r="F55" s="11" t="s">
        <v>227</v>
      </c>
      <c r="G55" s="11" t="s">
        <v>38</v>
      </c>
    </row>
    <row r="56" spans="1:7" ht="36" hidden="1" customHeight="1" x14ac:dyDescent="0.2">
      <c r="A56" s="11" t="s">
        <v>219</v>
      </c>
      <c r="B56" s="11" t="s">
        <v>228</v>
      </c>
      <c r="C56" s="2" t="s">
        <v>8</v>
      </c>
      <c r="D56" s="11" t="s">
        <v>105</v>
      </c>
      <c r="E56" s="11" t="s">
        <v>229</v>
      </c>
      <c r="F56" s="11" t="s">
        <v>230</v>
      </c>
      <c r="G56" s="11" t="s">
        <v>38</v>
      </c>
    </row>
    <row r="57" spans="1:7" ht="36" hidden="1" customHeight="1" x14ac:dyDescent="0.2">
      <c r="A57" s="11" t="s">
        <v>219</v>
      </c>
      <c r="B57" s="11" t="s">
        <v>231</v>
      </c>
      <c r="C57" s="2" t="s">
        <v>8</v>
      </c>
      <c r="D57" s="11" t="s">
        <v>62</v>
      </c>
      <c r="E57" s="11" t="s">
        <v>232</v>
      </c>
      <c r="F57" s="11" t="s">
        <v>233</v>
      </c>
      <c r="G57" s="11" t="s">
        <v>38</v>
      </c>
    </row>
    <row r="58" spans="1:7" ht="36" hidden="1" customHeight="1" x14ac:dyDescent="0.2">
      <c r="A58" s="11" t="s">
        <v>234</v>
      </c>
      <c r="B58" s="11" t="s">
        <v>235</v>
      </c>
      <c r="C58" s="2" t="s">
        <v>8</v>
      </c>
      <c r="D58" s="11" t="s">
        <v>236</v>
      </c>
      <c r="E58" s="11" t="s">
        <v>237</v>
      </c>
      <c r="F58" s="11" t="s">
        <v>238</v>
      </c>
      <c r="G58" s="11" t="s">
        <v>38</v>
      </c>
    </row>
    <row r="59" spans="1:7" ht="36" hidden="1" customHeight="1" x14ac:dyDescent="0.2">
      <c r="A59" s="11" t="s">
        <v>234</v>
      </c>
      <c r="B59" s="11" t="s">
        <v>239</v>
      </c>
      <c r="C59" s="2" t="s">
        <v>8</v>
      </c>
      <c r="D59" s="11" t="s">
        <v>236</v>
      </c>
      <c r="E59" s="11" t="s">
        <v>240</v>
      </c>
      <c r="F59" s="11" t="s">
        <v>241</v>
      </c>
      <c r="G59" s="11" t="s">
        <v>38</v>
      </c>
    </row>
    <row r="60" spans="1:7" ht="36" hidden="1" customHeight="1" x14ac:dyDescent="0.2">
      <c r="A60" s="11" t="s">
        <v>234</v>
      </c>
      <c r="B60" s="11" t="s">
        <v>242</v>
      </c>
      <c r="C60" s="2" t="s">
        <v>8</v>
      </c>
      <c r="D60" s="11" t="s">
        <v>243</v>
      </c>
      <c r="E60" s="11" t="s">
        <v>244</v>
      </c>
      <c r="F60" s="11" t="s">
        <v>245</v>
      </c>
      <c r="G60" s="11" t="s">
        <v>38</v>
      </c>
    </row>
    <row r="61" spans="1:7" ht="36" hidden="1" customHeight="1" x14ac:dyDescent="0.2">
      <c r="A61" s="11" t="s">
        <v>234</v>
      </c>
      <c r="B61" s="11" t="s">
        <v>246</v>
      </c>
      <c r="C61" s="2" t="s">
        <v>8</v>
      </c>
      <c r="D61" s="11" t="s">
        <v>236</v>
      </c>
      <c r="E61" s="11" t="s">
        <v>247</v>
      </c>
      <c r="F61" s="11" t="s">
        <v>248</v>
      </c>
      <c r="G61" s="11" t="s">
        <v>38</v>
      </c>
    </row>
    <row r="62" spans="1:7" ht="36" hidden="1" customHeight="1" x14ac:dyDescent="0.2">
      <c r="A62" s="11" t="s">
        <v>234</v>
      </c>
      <c r="B62" s="11" t="s">
        <v>249</v>
      </c>
      <c r="C62" s="2" t="s">
        <v>8</v>
      </c>
      <c r="D62" s="11" t="s">
        <v>236</v>
      </c>
      <c r="E62" s="11" t="s">
        <v>247</v>
      </c>
      <c r="F62" s="11" t="s">
        <v>250</v>
      </c>
      <c r="G62" s="11" t="s">
        <v>38</v>
      </c>
    </row>
    <row r="63" spans="1:7" ht="36" hidden="1" customHeight="1" x14ac:dyDescent="0.2">
      <c r="A63" s="11" t="s">
        <v>234</v>
      </c>
      <c r="B63" s="11" t="s">
        <v>251</v>
      </c>
      <c r="C63" s="2" t="s">
        <v>8</v>
      </c>
      <c r="D63" s="11" t="s">
        <v>236</v>
      </c>
      <c r="E63" s="11" t="s">
        <v>247</v>
      </c>
      <c r="F63" s="11" t="s">
        <v>252</v>
      </c>
      <c r="G63" s="11" t="s">
        <v>38</v>
      </c>
    </row>
    <row r="64" spans="1:7" ht="36" hidden="1" customHeight="1" x14ac:dyDescent="0.2">
      <c r="A64" s="11" t="s">
        <v>234</v>
      </c>
      <c r="B64" s="11" t="s">
        <v>253</v>
      </c>
      <c r="C64" s="2" t="s">
        <v>8</v>
      </c>
      <c r="D64" s="11" t="s">
        <v>254</v>
      </c>
      <c r="E64" s="11" t="s">
        <v>255</v>
      </c>
      <c r="F64" s="11" t="s">
        <v>256</v>
      </c>
      <c r="G64" s="11" t="s">
        <v>38</v>
      </c>
    </row>
    <row r="65" spans="1:7" ht="36" hidden="1" customHeight="1" x14ac:dyDescent="0.2">
      <c r="A65" s="11" t="s">
        <v>234</v>
      </c>
      <c r="B65" s="11" t="s">
        <v>257</v>
      </c>
      <c r="C65" s="2" t="s">
        <v>8</v>
      </c>
      <c r="D65" s="11" t="s">
        <v>236</v>
      </c>
      <c r="E65" s="11" t="s">
        <v>258</v>
      </c>
      <c r="F65" s="11" t="s">
        <v>259</v>
      </c>
      <c r="G65" s="11" t="s">
        <v>38</v>
      </c>
    </row>
    <row r="66" spans="1:7" ht="36" hidden="1" customHeight="1" x14ac:dyDescent="0.2">
      <c r="A66" s="11" t="s">
        <v>260</v>
      </c>
      <c r="B66" s="11" t="s">
        <v>261</v>
      </c>
      <c r="C66" s="2" t="s">
        <v>8</v>
      </c>
      <c r="D66" s="11" t="s">
        <v>82</v>
      </c>
      <c r="E66" s="11" t="s">
        <v>83</v>
      </c>
      <c r="F66" s="11" t="s">
        <v>262</v>
      </c>
      <c r="G66" s="11" t="s">
        <v>38</v>
      </c>
    </row>
    <row r="67" spans="1:7" ht="36" hidden="1" customHeight="1" x14ac:dyDescent="0.2">
      <c r="A67" s="11" t="s">
        <v>260</v>
      </c>
      <c r="B67" s="11" t="s">
        <v>263</v>
      </c>
      <c r="C67" s="2" t="s">
        <v>8</v>
      </c>
      <c r="D67" s="11" t="s">
        <v>93</v>
      </c>
      <c r="E67" s="11" t="s">
        <v>264</v>
      </c>
      <c r="F67" s="11" t="s">
        <v>265</v>
      </c>
      <c r="G67" s="11" t="s">
        <v>38</v>
      </c>
    </row>
    <row r="68" spans="1:7" ht="36" hidden="1" customHeight="1" x14ac:dyDescent="0.2">
      <c r="A68" s="11" t="s">
        <v>260</v>
      </c>
      <c r="B68" s="11" t="s">
        <v>266</v>
      </c>
      <c r="C68" s="6" t="s">
        <v>10</v>
      </c>
      <c r="D68" s="11" t="s">
        <v>87</v>
      </c>
      <c r="E68" s="11" t="s">
        <v>267</v>
      </c>
      <c r="F68" s="11" t="s">
        <v>268</v>
      </c>
      <c r="G68" s="11" t="s">
        <v>55</v>
      </c>
    </row>
    <row r="69" spans="1:7" ht="36" hidden="1" customHeight="1" x14ac:dyDescent="0.2">
      <c r="A69" s="11" t="s">
        <v>260</v>
      </c>
      <c r="B69" s="11" t="s">
        <v>269</v>
      </c>
      <c r="C69" s="2" t="s">
        <v>8</v>
      </c>
      <c r="D69" s="11" t="s">
        <v>270</v>
      </c>
      <c r="E69" s="11" t="s">
        <v>271</v>
      </c>
      <c r="F69" s="11" t="s">
        <v>272</v>
      </c>
      <c r="G69" s="11" t="s">
        <v>38</v>
      </c>
    </row>
    <row r="70" spans="1:7" ht="36" hidden="1" customHeight="1" x14ac:dyDescent="0.2">
      <c r="A70" s="11" t="s">
        <v>260</v>
      </c>
      <c r="B70" s="11" t="s">
        <v>273</v>
      </c>
      <c r="C70" s="6" t="s">
        <v>10</v>
      </c>
      <c r="D70" s="11" t="s">
        <v>274</v>
      </c>
      <c r="E70" s="11" t="s">
        <v>155</v>
      </c>
      <c r="F70" s="11" t="s">
        <v>275</v>
      </c>
      <c r="G70" s="11" t="s">
        <v>65</v>
      </c>
    </row>
    <row r="71" spans="1:7" ht="36" hidden="1" customHeight="1" x14ac:dyDescent="0.2">
      <c r="A71" s="11" t="s">
        <v>276</v>
      </c>
      <c r="B71" s="11" t="s">
        <v>277</v>
      </c>
      <c r="C71" s="2" t="s">
        <v>8</v>
      </c>
      <c r="D71" s="11" t="s">
        <v>105</v>
      </c>
      <c r="E71" s="11" t="s">
        <v>278</v>
      </c>
      <c r="F71" s="11" t="s">
        <v>279</v>
      </c>
      <c r="G71" s="11" t="s">
        <v>38</v>
      </c>
    </row>
    <row r="72" spans="1:7" ht="36" hidden="1" customHeight="1" x14ac:dyDescent="0.2">
      <c r="A72" s="11" t="s">
        <v>276</v>
      </c>
      <c r="B72" s="11" t="s">
        <v>280</v>
      </c>
      <c r="C72" s="2" t="s">
        <v>8</v>
      </c>
      <c r="D72" s="11" t="s">
        <v>274</v>
      </c>
      <c r="E72" s="11" t="s">
        <v>281</v>
      </c>
      <c r="F72" s="11" t="s">
        <v>282</v>
      </c>
      <c r="G72" s="11" t="s">
        <v>38</v>
      </c>
    </row>
    <row r="73" spans="1:7" ht="36" hidden="1" customHeight="1" x14ac:dyDescent="0.2">
      <c r="A73" s="11" t="s">
        <v>276</v>
      </c>
      <c r="B73" s="11" t="s">
        <v>283</v>
      </c>
      <c r="C73" s="2" t="s">
        <v>8</v>
      </c>
      <c r="D73" s="11" t="s">
        <v>284</v>
      </c>
      <c r="E73" s="11" t="s">
        <v>285</v>
      </c>
      <c r="F73" s="11" t="s">
        <v>286</v>
      </c>
      <c r="G73" s="11" t="s">
        <v>38</v>
      </c>
    </row>
    <row r="74" spans="1:7" ht="36" hidden="1" customHeight="1" x14ac:dyDescent="0.2">
      <c r="A74" s="11" t="s">
        <v>276</v>
      </c>
      <c r="B74" s="11" t="s">
        <v>287</v>
      </c>
      <c r="C74" s="2" t="s">
        <v>8</v>
      </c>
      <c r="D74" s="11" t="s">
        <v>288</v>
      </c>
      <c r="E74" s="11" t="s">
        <v>289</v>
      </c>
      <c r="F74" s="11" t="s">
        <v>290</v>
      </c>
      <c r="G74" s="11" t="s">
        <v>38</v>
      </c>
    </row>
    <row r="75" spans="1:7" ht="36" hidden="1" customHeight="1" x14ac:dyDescent="0.2">
      <c r="A75" s="11" t="s">
        <v>276</v>
      </c>
      <c r="B75" s="11" t="s">
        <v>291</v>
      </c>
      <c r="C75" s="6" t="s">
        <v>10</v>
      </c>
      <c r="D75" s="11" t="s">
        <v>274</v>
      </c>
      <c r="E75" s="11" t="s">
        <v>292</v>
      </c>
      <c r="F75" s="11" t="s">
        <v>293</v>
      </c>
      <c r="G75" s="11" t="s">
        <v>55</v>
      </c>
    </row>
    <row r="76" spans="1:7" ht="36" hidden="1" customHeight="1" x14ac:dyDescent="0.2">
      <c r="A76" s="11" t="s">
        <v>276</v>
      </c>
      <c r="B76" s="11" t="s">
        <v>294</v>
      </c>
      <c r="C76" s="2" t="s">
        <v>8</v>
      </c>
      <c r="D76" s="11" t="s">
        <v>105</v>
      </c>
      <c r="E76" s="11" t="s">
        <v>295</v>
      </c>
      <c r="F76" s="11" t="s">
        <v>296</v>
      </c>
      <c r="G76" s="11" t="s">
        <v>38</v>
      </c>
    </row>
    <row r="77" spans="1:7" ht="36" hidden="1" customHeight="1" x14ac:dyDescent="0.2">
      <c r="A77" s="11" t="s">
        <v>276</v>
      </c>
      <c r="B77" s="11" t="s">
        <v>297</v>
      </c>
      <c r="C77" s="2" t="s">
        <v>8</v>
      </c>
      <c r="D77" s="11" t="s">
        <v>105</v>
      </c>
      <c r="E77" s="11" t="s">
        <v>298</v>
      </c>
      <c r="F77" s="11" t="s">
        <v>299</v>
      </c>
      <c r="G77" s="11" t="s">
        <v>38</v>
      </c>
    </row>
    <row r="78" spans="1:7" ht="36" customHeight="1" x14ac:dyDescent="0.2">
      <c r="A78" s="11" t="s">
        <v>276</v>
      </c>
      <c r="B78" s="11" t="s">
        <v>300</v>
      </c>
      <c r="C78" s="6" t="s">
        <v>10</v>
      </c>
      <c r="D78" s="11" t="s">
        <v>105</v>
      </c>
      <c r="E78" s="11" t="s">
        <v>301</v>
      </c>
      <c r="F78" s="11" t="s">
        <v>302</v>
      </c>
      <c r="G78" s="11" t="s">
        <v>55</v>
      </c>
    </row>
    <row r="79" spans="1:7" ht="36" hidden="1" customHeight="1" x14ac:dyDescent="0.2">
      <c r="A79" s="11" t="s">
        <v>303</v>
      </c>
      <c r="B79" s="11" t="s">
        <v>304</v>
      </c>
      <c r="C79" s="2" t="s">
        <v>8</v>
      </c>
      <c r="D79" s="11" t="s">
        <v>62</v>
      </c>
      <c r="E79" s="11" t="s">
        <v>305</v>
      </c>
      <c r="F79" s="11" t="s">
        <v>306</v>
      </c>
      <c r="G79" s="11" t="s">
        <v>38</v>
      </c>
    </row>
    <row r="80" spans="1:7" ht="36" hidden="1" customHeight="1" x14ac:dyDescent="0.2">
      <c r="A80" s="11" t="s">
        <v>303</v>
      </c>
      <c r="B80" s="11" t="s">
        <v>307</v>
      </c>
      <c r="C80" s="2" t="s">
        <v>8</v>
      </c>
      <c r="D80" s="11" t="s">
        <v>62</v>
      </c>
      <c r="E80" s="11" t="s">
        <v>305</v>
      </c>
      <c r="F80" s="11" t="s">
        <v>308</v>
      </c>
      <c r="G80" s="11" t="s">
        <v>38</v>
      </c>
    </row>
    <row r="81" spans="1:7" ht="36" customHeight="1" x14ac:dyDescent="0.2">
      <c r="A81" s="11" t="s">
        <v>303</v>
      </c>
      <c r="B81" s="11" t="s">
        <v>309</v>
      </c>
      <c r="C81" s="6" t="s">
        <v>10</v>
      </c>
      <c r="D81" s="11" t="s">
        <v>310</v>
      </c>
      <c r="E81" s="11" t="s">
        <v>311</v>
      </c>
      <c r="F81" s="11" t="s">
        <v>312</v>
      </c>
      <c r="G81" s="11" t="s">
        <v>65</v>
      </c>
    </row>
    <row r="82" spans="1:7" ht="36" customHeight="1" x14ac:dyDescent="0.2">
      <c r="A82" s="11" t="s">
        <v>303</v>
      </c>
      <c r="B82" s="11" t="s">
        <v>313</v>
      </c>
      <c r="C82" s="6" t="s">
        <v>10</v>
      </c>
      <c r="D82" s="11" t="s">
        <v>105</v>
      </c>
      <c r="E82" s="11" t="s">
        <v>314</v>
      </c>
      <c r="F82" s="11" t="s">
        <v>315</v>
      </c>
      <c r="G82" s="11" t="s">
        <v>65</v>
      </c>
    </row>
    <row r="83" spans="1:7" ht="36" customHeight="1" x14ac:dyDescent="0.2">
      <c r="A83" s="11" t="s">
        <v>303</v>
      </c>
      <c r="B83" s="11" t="s">
        <v>316</v>
      </c>
      <c r="C83" s="6" t="s">
        <v>10</v>
      </c>
      <c r="D83" s="11" t="s">
        <v>105</v>
      </c>
      <c r="E83" s="11" t="s">
        <v>317</v>
      </c>
      <c r="F83" s="11" t="s">
        <v>318</v>
      </c>
      <c r="G83" s="11" t="s">
        <v>65</v>
      </c>
    </row>
    <row r="84" spans="1:7" ht="36" hidden="1" customHeight="1" x14ac:dyDescent="0.2">
      <c r="A84" s="11" t="s">
        <v>303</v>
      </c>
      <c r="B84" s="11" t="s">
        <v>319</v>
      </c>
      <c r="C84" s="2" t="s">
        <v>8</v>
      </c>
      <c r="D84" s="11" t="s">
        <v>62</v>
      </c>
      <c r="E84" s="11" t="s">
        <v>320</v>
      </c>
      <c r="F84" s="11" t="s">
        <v>321</v>
      </c>
      <c r="G84" s="11" t="s">
        <v>38</v>
      </c>
    </row>
    <row r="85" spans="1:7" ht="36" hidden="1" customHeight="1" x14ac:dyDescent="0.2">
      <c r="A85" s="11" t="s">
        <v>303</v>
      </c>
      <c r="B85" s="11" t="s">
        <v>322</v>
      </c>
      <c r="C85" s="6" t="s">
        <v>10</v>
      </c>
      <c r="D85" s="11" t="s">
        <v>323</v>
      </c>
      <c r="E85" s="11" t="s">
        <v>324</v>
      </c>
      <c r="F85" s="11" t="s">
        <v>325</v>
      </c>
      <c r="G85" s="11" t="s">
        <v>65</v>
      </c>
    </row>
    <row r="86" spans="1:7" ht="36" hidden="1" customHeight="1" x14ac:dyDescent="0.2">
      <c r="A86" s="11" t="s">
        <v>303</v>
      </c>
      <c r="B86" s="11" t="s">
        <v>326</v>
      </c>
      <c r="C86" s="2" t="s">
        <v>8</v>
      </c>
      <c r="D86" s="11" t="s">
        <v>62</v>
      </c>
      <c r="E86" s="11" t="s">
        <v>305</v>
      </c>
      <c r="F86" s="11" t="s">
        <v>327</v>
      </c>
      <c r="G86" s="11" t="s">
        <v>38</v>
      </c>
    </row>
    <row r="87" spans="1:7" ht="36" hidden="1" customHeight="1" x14ac:dyDescent="0.2">
      <c r="A87" s="11" t="s">
        <v>303</v>
      </c>
      <c r="B87" s="11" t="s">
        <v>328</v>
      </c>
      <c r="C87" s="2" t="s">
        <v>8</v>
      </c>
      <c r="D87" s="11" t="s">
        <v>329</v>
      </c>
      <c r="E87" s="11" t="s">
        <v>330</v>
      </c>
      <c r="F87" s="11" t="s">
        <v>331</v>
      </c>
      <c r="G87" s="11" t="s">
        <v>38</v>
      </c>
    </row>
    <row r="88" spans="1:7" ht="36" hidden="1" customHeight="1" x14ac:dyDescent="0.2">
      <c r="A88" s="11" t="s">
        <v>332</v>
      </c>
      <c r="B88" s="11" t="s">
        <v>333</v>
      </c>
      <c r="C88" s="2" t="s">
        <v>8</v>
      </c>
      <c r="D88" s="11" t="s">
        <v>62</v>
      </c>
      <c r="E88" s="11" t="s">
        <v>334</v>
      </c>
      <c r="F88" s="11" t="s">
        <v>335</v>
      </c>
      <c r="G88" s="11" t="s">
        <v>38</v>
      </c>
    </row>
    <row r="89" spans="1:7" ht="36" hidden="1" customHeight="1" x14ac:dyDescent="0.2">
      <c r="A89" s="11" t="s">
        <v>332</v>
      </c>
      <c r="B89" s="11" t="s">
        <v>336</v>
      </c>
      <c r="C89" s="2" t="s">
        <v>8</v>
      </c>
      <c r="D89" s="11" t="s">
        <v>62</v>
      </c>
      <c r="E89" s="11" t="s">
        <v>337</v>
      </c>
      <c r="F89" s="11" t="s">
        <v>338</v>
      </c>
      <c r="G89" s="11" t="s">
        <v>38</v>
      </c>
    </row>
    <row r="90" spans="1:7" ht="36" hidden="1" customHeight="1" x14ac:dyDescent="0.2">
      <c r="A90" s="11" t="s">
        <v>332</v>
      </c>
      <c r="B90" s="11" t="s">
        <v>339</v>
      </c>
      <c r="C90" s="2" t="s">
        <v>8</v>
      </c>
      <c r="D90" s="11" t="s">
        <v>340</v>
      </c>
      <c r="E90" s="11" t="s">
        <v>341</v>
      </c>
      <c r="F90" s="11" t="s">
        <v>342</v>
      </c>
      <c r="G90" s="11" t="s">
        <v>38</v>
      </c>
    </row>
    <row r="91" spans="1:7" ht="36" hidden="1" customHeight="1" x14ac:dyDescent="0.2">
      <c r="A91" s="11" t="s">
        <v>343</v>
      </c>
      <c r="B91" s="11" t="s">
        <v>344</v>
      </c>
      <c r="C91" s="6" t="s">
        <v>10</v>
      </c>
      <c r="D91" s="11" t="s">
        <v>345</v>
      </c>
      <c r="E91" s="11" t="s">
        <v>346</v>
      </c>
      <c r="F91" s="11" t="s">
        <v>347</v>
      </c>
      <c r="G91" s="11" t="s">
        <v>55</v>
      </c>
    </row>
    <row r="92" spans="1:7" ht="36" hidden="1" customHeight="1" x14ac:dyDescent="0.2">
      <c r="A92" s="11" t="s">
        <v>343</v>
      </c>
      <c r="B92" s="11" t="s">
        <v>348</v>
      </c>
      <c r="C92" s="2" t="s">
        <v>8</v>
      </c>
      <c r="D92" s="11" t="s">
        <v>254</v>
      </c>
      <c r="E92" s="11" t="s">
        <v>349</v>
      </c>
      <c r="F92" s="11" t="s">
        <v>350</v>
      </c>
      <c r="G92" s="11" t="s">
        <v>38</v>
      </c>
    </row>
    <row r="93" spans="1:7" ht="36" hidden="1" customHeight="1" x14ac:dyDescent="0.2">
      <c r="A93" s="11" t="s">
        <v>343</v>
      </c>
      <c r="B93" s="11" t="s">
        <v>351</v>
      </c>
      <c r="C93" s="2" t="s">
        <v>8</v>
      </c>
      <c r="D93" s="11" t="s">
        <v>352</v>
      </c>
      <c r="E93" s="11" t="s">
        <v>353</v>
      </c>
      <c r="F93" s="11" t="s">
        <v>354</v>
      </c>
      <c r="G93" s="11" t="s">
        <v>38</v>
      </c>
    </row>
    <row r="94" spans="1:7" ht="36" hidden="1" customHeight="1" x14ac:dyDescent="0.2">
      <c r="A94" s="11" t="s">
        <v>343</v>
      </c>
      <c r="B94" s="11" t="s">
        <v>355</v>
      </c>
      <c r="C94" s="2" t="s">
        <v>8</v>
      </c>
      <c r="D94" s="11" t="s">
        <v>356</v>
      </c>
      <c r="E94" s="11" t="s">
        <v>357</v>
      </c>
      <c r="F94" s="11" t="s">
        <v>358</v>
      </c>
      <c r="G94" s="11" t="s">
        <v>38</v>
      </c>
    </row>
    <row r="95" spans="1:7" ht="36" hidden="1" customHeight="1" x14ac:dyDescent="0.2">
      <c r="A95" s="11" t="s">
        <v>359</v>
      </c>
      <c r="B95" s="11" t="s">
        <v>360</v>
      </c>
      <c r="C95" s="6" t="s">
        <v>10</v>
      </c>
      <c r="D95" s="11" t="s">
        <v>361</v>
      </c>
      <c r="E95" s="11" t="s">
        <v>362</v>
      </c>
      <c r="F95" s="11" t="s">
        <v>363</v>
      </c>
      <c r="G95" s="11" t="s">
        <v>65</v>
      </c>
    </row>
    <row r="96" spans="1:7" ht="36" hidden="1" customHeight="1" x14ac:dyDescent="0.2">
      <c r="A96" s="11" t="s">
        <v>359</v>
      </c>
      <c r="B96" s="11" t="s">
        <v>364</v>
      </c>
      <c r="C96" s="2" t="s">
        <v>8</v>
      </c>
      <c r="D96" s="11" t="s">
        <v>361</v>
      </c>
      <c r="E96" s="11" t="s">
        <v>365</v>
      </c>
      <c r="F96" s="11" t="s">
        <v>366</v>
      </c>
      <c r="G96" s="11" t="s">
        <v>38</v>
      </c>
    </row>
    <row r="97" spans="1:7" ht="36" customHeight="1" x14ac:dyDescent="0.2">
      <c r="A97" s="11" t="s">
        <v>359</v>
      </c>
      <c r="B97" s="11" t="s">
        <v>367</v>
      </c>
      <c r="C97" s="7" t="s">
        <v>12</v>
      </c>
      <c r="D97" s="11" t="s">
        <v>116</v>
      </c>
      <c r="E97" s="11" t="s">
        <v>368</v>
      </c>
      <c r="F97" s="11" t="s">
        <v>369</v>
      </c>
      <c r="G97" s="11" t="s">
        <v>55</v>
      </c>
    </row>
    <row r="98" spans="1:7" ht="36" hidden="1" customHeight="1" x14ac:dyDescent="0.2">
      <c r="A98" s="11" t="s">
        <v>359</v>
      </c>
      <c r="B98" s="11" t="s">
        <v>370</v>
      </c>
      <c r="C98" s="6" t="s">
        <v>10</v>
      </c>
      <c r="D98" s="11" t="s">
        <v>371</v>
      </c>
      <c r="E98" s="11" t="s">
        <v>372</v>
      </c>
      <c r="F98" s="11" t="s">
        <v>373</v>
      </c>
      <c r="G98" s="11" t="s">
        <v>65</v>
      </c>
    </row>
    <row r="99" spans="1:7" ht="36" hidden="1" customHeight="1" x14ac:dyDescent="0.2">
      <c r="A99" s="11" t="s">
        <v>374</v>
      </c>
      <c r="B99" s="11" t="s">
        <v>375</v>
      </c>
      <c r="C99" s="6" t="s">
        <v>10</v>
      </c>
      <c r="D99" s="11" t="s">
        <v>288</v>
      </c>
      <c r="E99" s="11" t="s">
        <v>376</v>
      </c>
      <c r="F99" s="11" t="s">
        <v>377</v>
      </c>
      <c r="G99" s="11" t="s">
        <v>65</v>
      </c>
    </row>
    <row r="100" spans="1:7" ht="36" hidden="1" customHeight="1" x14ac:dyDescent="0.2">
      <c r="A100" s="11" t="s">
        <v>374</v>
      </c>
      <c r="B100" s="11" t="s">
        <v>378</v>
      </c>
      <c r="C100" s="2" t="s">
        <v>8</v>
      </c>
      <c r="D100" s="11" t="s">
        <v>379</v>
      </c>
      <c r="E100" s="11" t="s">
        <v>380</v>
      </c>
      <c r="F100" s="11" t="s">
        <v>381</v>
      </c>
      <c r="G100" s="11" t="s">
        <v>38</v>
      </c>
    </row>
  </sheetData>
  <autoFilter ref="A1:G100" xr:uid="{00000000-0009-0000-0000-000001000000}">
    <filterColumn colId="2">
      <filters>
        <filter val="GAP"/>
        <filter val="PARTIAL"/>
      </filters>
    </filterColumn>
    <filterColumn colId="3">
      <filters>
        <filter val="Analytics"/>
        <filter val="Attendance"/>
        <filter val="Core HR"/>
        <filter val="Core HR + Analytics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showGridLines="0" workbookViewId="0">
      <pane ySplit="3" topLeftCell="A4" activePane="bottomLeft" state="frozen"/>
      <selection pane="bottomLeft" sqref="A1:G1"/>
    </sheetView>
  </sheetViews>
  <sheetFormatPr baseColWidth="10" defaultColWidth="8.83203125" defaultRowHeight="15" x14ac:dyDescent="0.2"/>
  <cols>
    <col min="1" max="1" width="8" customWidth="1"/>
    <col min="2" max="2" width="55" customWidth="1"/>
    <col min="3" max="3" width="28" customWidth="1"/>
    <col min="4" max="4" width="40" customWidth="1"/>
    <col min="5" max="6" width="14" customWidth="1"/>
    <col min="7" max="7" width="12" customWidth="1"/>
  </cols>
  <sheetData>
    <row r="1" spans="1:7" ht="20" x14ac:dyDescent="0.2">
      <c r="A1" s="29" t="s">
        <v>382</v>
      </c>
      <c r="B1" s="21"/>
      <c r="C1" s="21"/>
      <c r="D1" s="21"/>
      <c r="E1" s="21"/>
      <c r="F1" s="21"/>
      <c r="G1" s="21"/>
    </row>
    <row r="3" spans="1:7" x14ac:dyDescent="0.2">
      <c r="A3" s="1" t="s">
        <v>383</v>
      </c>
      <c r="B3" s="1" t="s">
        <v>28</v>
      </c>
      <c r="C3" s="1" t="s">
        <v>384</v>
      </c>
      <c r="D3" s="1" t="s">
        <v>385</v>
      </c>
      <c r="E3" s="1" t="s">
        <v>386</v>
      </c>
      <c r="F3" s="1" t="s">
        <v>387</v>
      </c>
      <c r="G3" s="1" t="s">
        <v>32</v>
      </c>
    </row>
    <row r="4" spans="1:7" x14ac:dyDescent="0.2">
      <c r="A4" s="12" t="s">
        <v>388</v>
      </c>
      <c r="B4" s="12" t="str">
        <f>COUNTA(A3:A4) &amp; " items"</f>
        <v>2 items</v>
      </c>
      <c r="E4" s="12" t="s">
        <v>389</v>
      </c>
      <c r="G4" s="12" t="s">
        <v>390</v>
      </c>
    </row>
  </sheetData>
  <autoFilter ref="A3:G3" xr:uid="{00000000-0009-0000-0000-000002000000}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8.83203125" defaultRowHeight="15" x14ac:dyDescent="0.2"/>
  <cols>
    <col min="1" max="1" width="8" customWidth="1"/>
    <col min="2" max="2" width="55" customWidth="1"/>
    <col min="3" max="3" width="28" customWidth="1"/>
    <col min="4" max="4" width="70" customWidth="1"/>
  </cols>
  <sheetData>
    <row r="1" spans="1:4" ht="20" x14ac:dyDescent="0.2">
      <c r="A1" s="29" t="s">
        <v>391</v>
      </c>
      <c r="B1" s="21"/>
      <c r="C1" s="21"/>
      <c r="D1" s="21"/>
    </row>
    <row r="3" spans="1:4" x14ac:dyDescent="0.2">
      <c r="A3" s="1" t="s">
        <v>383</v>
      </c>
      <c r="B3" s="1" t="s">
        <v>392</v>
      </c>
      <c r="C3" s="1" t="s">
        <v>384</v>
      </c>
      <c r="D3" s="1" t="s">
        <v>393</v>
      </c>
    </row>
    <row r="4" spans="1:4" ht="30" customHeight="1" x14ac:dyDescent="0.2">
      <c r="A4" s="11" t="s">
        <v>394</v>
      </c>
      <c r="B4" s="11" t="s">
        <v>395</v>
      </c>
      <c r="C4" s="11" t="s">
        <v>396</v>
      </c>
      <c r="D4" s="11" t="s">
        <v>397</v>
      </c>
    </row>
    <row r="5" spans="1:4" ht="30" customHeight="1" x14ac:dyDescent="0.2">
      <c r="A5" s="11" t="s">
        <v>398</v>
      </c>
      <c r="B5" s="11" t="s">
        <v>399</v>
      </c>
      <c r="C5" s="11" t="s">
        <v>400</v>
      </c>
      <c r="D5" s="11" t="s">
        <v>401</v>
      </c>
    </row>
    <row r="6" spans="1:4" ht="30" customHeight="1" x14ac:dyDescent="0.2">
      <c r="A6" s="11" t="s">
        <v>402</v>
      </c>
      <c r="B6" s="11" t="s">
        <v>403</v>
      </c>
      <c r="C6" s="11" t="s">
        <v>404</v>
      </c>
      <c r="D6" s="11" t="s">
        <v>405</v>
      </c>
    </row>
    <row r="7" spans="1:4" ht="30" customHeight="1" x14ac:dyDescent="0.2">
      <c r="A7" s="11" t="s">
        <v>406</v>
      </c>
      <c r="B7" s="11" t="s">
        <v>407</v>
      </c>
      <c r="C7" s="11" t="s">
        <v>400</v>
      </c>
      <c r="D7" s="11" t="s">
        <v>408</v>
      </c>
    </row>
    <row r="8" spans="1:4" ht="30" customHeight="1" x14ac:dyDescent="0.2">
      <c r="A8" s="11" t="s">
        <v>409</v>
      </c>
      <c r="B8" s="11" t="s">
        <v>410</v>
      </c>
      <c r="C8" s="11" t="s">
        <v>105</v>
      </c>
      <c r="D8" s="11" t="s">
        <v>411</v>
      </c>
    </row>
    <row r="9" spans="1:4" ht="30" customHeight="1" x14ac:dyDescent="0.2">
      <c r="A9" s="11" t="s">
        <v>412</v>
      </c>
      <c r="B9" s="11" t="s">
        <v>413</v>
      </c>
      <c r="C9" s="11" t="s">
        <v>105</v>
      </c>
      <c r="D9" s="11" t="s">
        <v>414</v>
      </c>
    </row>
    <row r="10" spans="1:4" ht="30" customHeight="1" x14ac:dyDescent="0.2">
      <c r="A10" s="11" t="s">
        <v>415</v>
      </c>
      <c r="B10" s="11" t="s">
        <v>416</v>
      </c>
      <c r="C10" s="11" t="s">
        <v>105</v>
      </c>
      <c r="D10" s="11" t="s">
        <v>417</v>
      </c>
    </row>
    <row r="11" spans="1:4" ht="30" customHeight="1" x14ac:dyDescent="0.2">
      <c r="A11" s="11" t="s">
        <v>418</v>
      </c>
      <c r="B11" s="11" t="s">
        <v>419</v>
      </c>
      <c r="C11" s="11" t="s">
        <v>323</v>
      </c>
      <c r="D11" s="11" t="s">
        <v>420</v>
      </c>
    </row>
    <row r="12" spans="1:4" ht="30" customHeight="1" x14ac:dyDescent="0.2">
      <c r="A12" s="11" t="s">
        <v>421</v>
      </c>
      <c r="B12" s="11" t="s">
        <v>422</v>
      </c>
      <c r="C12" s="11" t="s">
        <v>423</v>
      </c>
      <c r="D12" s="11" t="s">
        <v>424</v>
      </c>
    </row>
    <row r="13" spans="1:4" ht="30" customHeight="1" x14ac:dyDescent="0.2">
      <c r="A13" s="11" t="s">
        <v>425</v>
      </c>
      <c r="B13" s="11" t="s">
        <v>426</v>
      </c>
      <c r="C13" s="11" t="s">
        <v>274</v>
      </c>
      <c r="D13" s="11" t="s">
        <v>427</v>
      </c>
    </row>
    <row r="14" spans="1:4" ht="30" customHeight="1" x14ac:dyDescent="0.2">
      <c r="A14" s="11" t="s">
        <v>428</v>
      </c>
      <c r="B14" s="11" t="s">
        <v>429</v>
      </c>
      <c r="C14" s="11" t="s">
        <v>78</v>
      </c>
      <c r="D14" s="11" t="s">
        <v>430</v>
      </c>
    </row>
    <row r="15" spans="1:4" ht="30" customHeight="1" x14ac:dyDescent="0.2">
      <c r="A15" s="11" t="s">
        <v>431</v>
      </c>
      <c r="B15" s="11" t="s">
        <v>432</v>
      </c>
      <c r="C15" s="11" t="s">
        <v>87</v>
      </c>
      <c r="D15" s="11" t="s">
        <v>433</v>
      </c>
    </row>
    <row r="16" spans="1:4" ht="30" customHeight="1" x14ac:dyDescent="0.2">
      <c r="A16" s="11" t="s">
        <v>434</v>
      </c>
      <c r="B16" s="11" t="s">
        <v>435</v>
      </c>
      <c r="C16" s="11" t="s">
        <v>274</v>
      </c>
      <c r="D16" s="11" t="s">
        <v>436</v>
      </c>
    </row>
    <row r="17" spans="1:4" ht="30" customHeight="1" x14ac:dyDescent="0.2">
      <c r="A17" s="11" t="s">
        <v>437</v>
      </c>
      <c r="B17" s="11" t="s">
        <v>438</v>
      </c>
      <c r="C17" s="11" t="s">
        <v>62</v>
      </c>
      <c r="D17" s="11" t="s">
        <v>439</v>
      </c>
    </row>
    <row r="18" spans="1:4" ht="30" customHeight="1" x14ac:dyDescent="0.2">
      <c r="A18" s="11" t="s">
        <v>440</v>
      </c>
      <c r="B18" s="11" t="s">
        <v>441</v>
      </c>
      <c r="C18" s="11" t="s">
        <v>361</v>
      </c>
      <c r="D18" s="11" t="s">
        <v>442</v>
      </c>
    </row>
    <row r="19" spans="1:4" ht="30" customHeight="1" x14ac:dyDescent="0.2">
      <c r="A19" s="11" t="s">
        <v>443</v>
      </c>
      <c r="B19" s="11" t="s">
        <v>444</v>
      </c>
      <c r="C19" s="11" t="s">
        <v>371</v>
      </c>
      <c r="D19" s="11" t="s">
        <v>445</v>
      </c>
    </row>
    <row r="20" spans="1:4" ht="30" customHeight="1" x14ac:dyDescent="0.2">
      <c r="A20" s="11" t="s">
        <v>446</v>
      </c>
      <c r="B20" s="11" t="s">
        <v>447</v>
      </c>
      <c r="C20" s="11" t="s">
        <v>404</v>
      </c>
      <c r="D20" s="11" t="s">
        <v>448</v>
      </c>
    </row>
    <row r="21" spans="1:4" ht="30" customHeight="1" x14ac:dyDescent="0.2">
      <c r="A21" s="11" t="s">
        <v>449</v>
      </c>
      <c r="B21" s="11" t="s">
        <v>450</v>
      </c>
      <c r="C21" s="11" t="s">
        <v>345</v>
      </c>
      <c r="D21" s="11" t="s">
        <v>451</v>
      </c>
    </row>
    <row r="22" spans="1:4" ht="30" customHeight="1" x14ac:dyDescent="0.2">
      <c r="A22" s="11" t="s">
        <v>452</v>
      </c>
      <c r="B22" s="11" t="s">
        <v>453</v>
      </c>
      <c r="C22" s="11" t="s">
        <v>274</v>
      </c>
      <c r="D22" s="11" t="s">
        <v>454</v>
      </c>
    </row>
    <row r="23" spans="1:4" ht="30" customHeight="1" x14ac:dyDescent="0.2">
      <c r="A23" s="11" t="s">
        <v>455</v>
      </c>
      <c r="B23" s="11" t="s">
        <v>456</v>
      </c>
      <c r="C23" s="11" t="s">
        <v>105</v>
      </c>
      <c r="D23" s="11" t="s">
        <v>457</v>
      </c>
    </row>
  </sheetData>
  <autoFilter ref="A3:D23" xr:uid="{00000000-0009-0000-0000-000003000000}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showGridLines="0"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30" customWidth="1"/>
    <col min="2" max="5" width="11" customWidth="1"/>
    <col min="6" max="6" width="14" customWidth="1"/>
  </cols>
  <sheetData>
    <row r="1" spans="1:6" ht="20" x14ac:dyDescent="0.2">
      <c r="A1" s="29" t="s">
        <v>458</v>
      </c>
      <c r="B1" s="21"/>
      <c r="C1" s="21"/>
      <c r="D1" s="21"/>
      <c r="E1" s="21"/>
      <c r="F1" s="21"/>
    </row>
    <row r="3" spans="1:6" x14ac:dyDescent="0.2">
      <c r="A3" s="1" t="s">
        <v>459</v>
      </c>
      <c r="B3" s="1" t="s">
        <v>8</v>
      </c>
      <c r="C3" s="1" t="s">
        <v>10</v>
      </c>
      <c r="D3" s="1" t="s">
        <v>12</v>
      </c>
      <c r="E3" s="1" t="s">
        <v>460</v>
      </c>
      <c r="F3" s="1" t="s">
        <v>461</v>
      </c>
    </row>
    <row r="4" spans="1:6" x14ac:dyDescent="0.2">
      <c r="A4" s="5" t="s">
        <v>105</v>
      </c>
      <c r="B4" s="13">
        <f>COUNTIFS('Full Matrix'!D:D,"*"&amp;A4&amp;"*",'Full Matrix'!C:C,"COVERED")</f>
        <v>17</v>
      </c>
      <c r="C4" s="14">
        <f>COUNTIFS('Full Matrix'!D:D,"*"&amp;A4&amp;"*",'Full Matrix'!C:C,"PARTIAL")</f>
        <v>4</v>
      </c>
      <c r="D4" s="15">
        <f>COUNTIFS('Full Matrix'!D:D,"*"&amp;A4&amp;"*",'Full Matrix'!C:C,"GAP")</f>
        <v>0</v>
      </c>
      <c r="E4" s="9">
        <f t="shared" ref="E4:E29" si="0">SUM(B4:D4)</f>
        <v>21</v>
      </c>
      <c r="F4" s="4">
        <f t="shared" ref="F4:F30" si="1">IF(E4=0,0,B4/E4)</f>
        <v>0.80952380952380953</v>
      </c>
    </row>
    <row r="5" spans="1:6" x14ac:dyDescent="0.2">
      <c r="A5" s="5" t="s">
        <v>116</v>
      </c>
      <c r="B5" s="13">
        <f>COUNTIFS('Full Matrix'!D:D,"*"&amp;A5&amp;"*",'Full Matrix'!C:C,"COVERED")</f>
        <v>6</v>
      </c>
      <c r="C5" s="14">
        <f>COUNTIFS('Full Matrix'!D:D,"*"&amp;A5&amp;"*",'Full Matrix'!C:C,"PARTIAL")</f>
        <v>1</v>
      </c>
      <c r="D5" s="15">
        <f>COUNTIFS('Full Matrix'!D:D,"*"&amp;A5&amp;"*",'Full Matrix'!C:C,"GAP")</f>
        <v>1</v>
      </c>
      <c r="E5" s="9">
        <f t="shared" si="0"/>
        <v>8</v>
      </c>
      <c r="F5" s="4">
        <f t="shared" si="1"/>
        <v>0.75</v>
      </c>
    </row>
    <row r="6" spans="1:6" x14ac:dyDescent="0.2">
      <c r="A6" s="5" t="s">
        <v>98</v>
      </c>
      <c r="B6" s="13">
        <f>COUNTIFS('Full Matrix'!D:D,"*"&amp;A6&amp;"*",'Full Matrix'!C:C,"COVERED")</f>
        <v>2</v>
      </c>
      <c r="C6" s="14">
        <f>COUNTIFS('Full Matrix'!D:D,"*"&amp;A6&amp;"*",'Full Matrix'!C:C,"PARTIAL")</f>
        <v>1</v>
      </c>
      <c r="D6" s="15">
        <f>COUNTIFS('Full Matrix'!D:D,"*"&amp;A6&amp;"*",'Full Matrix'!C:C,"GAP")</f>
        <v>0</v>
      </c>
      <c r="E6" s="9">
        <f t="shared" si="0"/>
        <v>3</v>
      </c>
      <c r="F6" s="4">
        <f t="shared" si="1"/>
        <v>0.66666666666666663</v>
      </c>
    </row>
    <row r="7" spans="1:6" x14ac:dyDescent="0.2">
      <c r="A7" s="5" t="s">
        <v>236</v>
      </c>
      <c r="B7" s="13">
        <f>COUNTIFS('Full Matrix'!D:D,"*"&amp;A7&amp;"*",'Full Matrix'!C:C,"COVERED")</f>
        <v>8</v>
      </c>
      <c r="C7" s="14">
        <f>COUNTIFS('Full Matrix'!D:D,"*"&amp;A7&amp;"*",'Full Matrix'!C:C,"PARTIAL")</f>
        <v>0</v>
      </c>
      <c r="D7" s="15">
        <f>COUNTIFS('Full Matrix'!D:D,"*"&amp;A7&amp;"*",'Full Matrix'!C:C,"GAP")</f>
        <v>0</v>
      </c>
      <c r="E7" s="9">
        <f t="shared" si="0"/>
        <v>8</v>
      </c>
      <c r="F7" s="4">
        <f t="shared" si="1"/>
        <v>1</v>
      </c>
    </row>
    <row r="8" spans="1:6" x14ac:dyDescent="0.2">
      <c r="A8" s="5" t="s">
        <v>35</v>
      </c>
      <c r="B8" s="13">
        <f>COUNTIFS('Full Matrix'!D:D,"*"&amp;A8&amp;"*",'Full Matrix'!C:C,"COVERED")</f>
        <v>2</v>
      </c>
      <c r="C8" s="14">
        <f>COUNTIFS('Full Matrix'!D:D,"*"&amp;A8&amp;"*",'Full Matrix'!C:C,"PARTIAL")</f>
        <v>2</v>
      </c>
      <c r="D8" s="15">
        <f>COUNTIFS('Full Matrix'!D:D,"*"&amp;A8&amp;"*",'Full Matrix'!C:C,"GAP")</f>
        <v>0</v>
      </c>
      <c r="E8" s="9">
        <f t="shared" si="0"/>
        <v>4</v>
      </c>
      <c r="F8" s="4">
        <f t="shared" si="1"/>
        <v>0.5</v>
      </c>
    </row>
    <row r="9" spans="1:6" x14ac:dyDescent="0.2">
      <c r="A9" s="5" t="s">
        <v>40</v>
      </c>
      <c r="B9" s="13">
        <f>COUNTIFS('Full Matrix'!D:D,"*"&amp;A9&amp;"*",'Full Matrix'!C:C,"COVERED")</f>
        <v>2</v>
      </c>
      <c r="C9" s="14">
        <f>COUNTIFS('Full Matrix'!D:D,"*"&amp;A9&amp;"*",'Full Matrix'!C:C,"PARTIAL")</f>
        <v>1</v>
      </c>
      <c r="D9" s="15">
        <f>COUNTIFS('Full Matrix'!D:D,"*"&amp;A9&amp;"*",'Full Matrix'!C:C,"GAP")</f>
        <v>0</v>
      </c>
      <c r="E9" s="9">
        <f t="shared" si="0"/>
        <v>3</v>
      </c>
      <c r="F9" s="4">
        <f t="shared" si="1"/>
        <v>0.66666666666666663</v>
      </c>
    </row>
    <row r="10" spans="1:6" x14ac:dyDescent="0.2">
      <c r="A10" s="5" t="s">
        <v>44</v>
      </c>
      <c r="B10" s="13">
        <f>COUNTIFS('Full Matrix'!D:D,"*"&amp;A10&amp;"*",'Full Matrix'!C:C,"COVERED")</f>
        <v>1</v>
      </c>
      <c r="C10" s="14">
        <f>COUNTIFS('Full Matrix'!D:D,"*"&amp;A10&amp;"*",'Full Matrix'!C:C,"PARTIAL")</f>
        <v>0</v>
      </c>
      <c r="D10" s="15">
        <f>COUNTIFS('Full Matrix'!D:D,"*"&amp;A10&amp;"*",'Full Matrix'!C:C,"GAP")</f>
        <v>0</v>
      </c>
      <c r="E10" s="9">
        <f t="shared" si="0"/>
        <v>1</v>
      </c>
      <c r="F10" s="4">
        <f t="shared" si="1"/>
        <v>1</v>
      </c>
    </row>
    <row r="11" spans="1:6" x14ac:dyDescent="0.2">
      <c r="A11" s="5" t="s">
        <v>48</v>
      </c>
      <c r="B11" s="13">
        <f>COUNTIFS('Full Matrix'!D:D,"*"&amp;A11&amp;"*",'Full Matrix'!C:C,"COVERED")</f>
        <v>1</v>
      </c>
      <c r="C11" s="14">
        <f>COUNTIFS('Full Matrix'!D:D,"*"&amp;A11&amp;"*",'Full Matrix'!C:C,"PARTIAL")</f>
        <v>0</v>
      </c>
      <c r="D11" s="15">
        <f>COUNTIFS('Full Matrix'!D:D,"*"&amp;A11&amp;"*",'Full Matrix'!C:C,"GAP")</f>
        <v>0</v>
      </c>
      <c r="E11" s="9">
        <f t="shared" si="0"/>
        <v>1</v>
      </c>
      <c r="F11" s="4">
        <f t="shared" si="1"/>
        <v>1</v>
      </c>
    </row>
    <row r="12" spans="1:6" x14ac:dyDescent="0.2">
      <c r="A12" s="5" t="s">
        <v>274</v>
      </c>
      <c r="B12" s="13">
        <f>COUNTIFS('Full Matrix'!D:D,"*"&amp;A12&amp;"*",'Full Matrix'!C:C,"COVERED")</f>
        <v>2</v>
      </c>
      <c r="C12" s="14">
        <f>COUNTIFS('Full Matrix'!D:D,"*"&amp;A12&amp;"*",'Full Matrix'!C:C,"PARTIAL")</f>
        <v>3</v>
      </c>
      <c r="D12" s="15">
        <f>COUNTIFS('Full Matrix'!D:D,"*"&amp;A12&amp;"*",'Full Matrix'!C:C,"GAP")</f>
        <v>0</v>
      </c>
      <c r="E12" s="9">
        <f t="shared" si="0"/>
        <v>5</v>
      </c>
      <c r="F12" s="4">
        <f t="shared" si="1"/>
        <v>0.4</v>
      </c>
    </row>
    <row r="13" spans="1:6" x14ac:dyDescent="0.2">
      <c r="A13" s="5" t="s">
        <v>323</v>
      </c>
      <c r="B13" s="13">
        <f>COUNTIFS('Full Matrix'!D:D,"*"&amp;A13&amp;"*",'Full Matrix'!C:C,"COVERED")</f>
        <v>0</v>
      </c>
      <c r="C13" s="14">
        <f>COUNTIFS('Full Matrix'!D:D,"*"&amp;A13&amp;"*",'Full Matrix'!C:C,"PARTIAL")</f>
        <v>2</v>
      </c>
      <c r="D13" s="15">
        <f>COUNTIFS('Full Matrix'!D:D,"*"&amp;A13&amp;"*",'Full Matrix'!C:C,"GAP")</f>
        <v>0</v>
      </c>
      <c r="E13" s="9">
        <f t="shared" si="0"/>
        <v>2</v>
      </c>
      <c r="F13" s="4">
        <f t="shared" si="1"/>
        <v>0</v>
      </c>
    </row>
    <row r="14" spans="1:6" x14ac:dyDescent="0.2">
      <c r="A14" s="5" t="s">
        <v>62</v>
      </c>
      <c r="B14" s="13">
        <f>COUNTIFS('Full Matrix'!D:D,"*"&amp;A14&amp;"*",'Full Matrix'!C:C,"COVERED")</f>
        <v>11</v>
      </c>
      <c r="C14" s="14">
        <f>COUNTIFS('Full Matrix'!D:D,"*"&amp;A14&amp;"*",'Full Matrix'!C:C,"PARTIAL")</f>
        <v>2</v>
      </c>
      <c r="D14" s="15">
        <f>COUNTIFS('Full Matrix'!D:D,"*"&amp;A14&amp;"*",'Full Matrix'!C:C,"GAP")</f>
        <v>0</v>
      </c>
      <c r="E14" s="9">
        <f t="shared" si="0"/>
        <v>13</v>
      </c>
      <c r="F14" s="4">
        <f t="shared" si="1"/>
        <v>0.84615384615384615</v>
      </c>
    </row>
    <row r="15" spans="1:6" x14ac:dyDescent="0.2">
      <c r="A15" s="5" t="s">
        <v>254</v>
      </c>
      <c r="B15" s="13">
        <f>COUNTIFS('Full Matrix'!D:D,"*"&amp;A15&amp;"*",'Full Matrix'!C:C,"COVERED")</f>
        <v>5</v>
      </c>
      <c r="C15" s="14">
        <f>COUNTIFS('Full Matrix'!D:D,"*"&amp;A15&amp;"*",'Full Matrix'!C:C,"PARTIAL")</f>
        <v>0</v>
      </c>
      <c r="D15" s="15">
        <f>COUNTIFS('Full Matrix'!D:D,"*"&amp;A15&amp;"*",'Full Matrix'!C:C,"GAP")</f>
        <v>0</v>
      </c>
      <c r="E15" s="9">
        <f t="shared" si="0"/>
        <v>5</v>
      </c>
      <c r="F15" s="4">
        <f t="shared" si="1"/>
        <v>1</v>
      </c>
    </row>
    <row r="16" spans="1:6" x14ac:dyDescent="0.2">
      <c r="A16" s="5" t="s">
        <v>352</v>
      </c>
      <c r="B16" s="13">
        <f>COUNTIFS('Full Matrix'!D:D,"*"&amp;A16&amp;"*",'Full Matrix'!C:C,"COVERED")</f>
        <v>1</v>
      </c>
      <c r="C16" s="14">
        <f>COUNTIFS('Full Matrix'!D:D,"*"&amp;A16&amp;"*",'Full Matrix'!C:C,"PARTIAL")</f>
        <v>0</v>
      </c>
      <c r="D16" s="15">
        <f>COUNTIFS('Full Matrix'!D:D,"*"&amp;A16&amp;"*",'Full Matrix'!C:C,"GAP")</f>
        <v>0</v>
      </c>
      <c r="E16" s="9">
        <f t="shared" si="0"/>
        <v>1</v>
      </c>
      <c r="F16" s="4">
        <f t="shared" si="1"/>
        <v>1</v>
      </c>
    </row>
    <row r="17" spans="1:6" x14ac:dyDescent="0.2">
      <c r="A17" s="5" t="s">
        <v>361</v>
      </c>
      <c r="B17" s="13">
        <f>COUNTIFS('Full Matrix'!D:D,"*"&amp;A17&amp;"*",'Full Matrix'!C:C,"COVERED")</f>
        <v>2</v>
      </c>
      <c r="C17" s="14">
        <f>COUNTIFS('Full Matrix'!D:D,"*"&amp;A17&amp;"*",'Full Matrix'!C:C,"PARTIAL")</f>
        <v>1</v>
      </c>
      <c r="D17" s="15">
        <f>COUNTIFS('Full Matrix'!D:D,"*"&amp;A17&amp;"*",'Full Matrix'!C:C,"GAP")</f>
        <v>0</v>
      </c>
      <c r="E17" s="9">
        <f t="shared" si="0"/>
        <v>3</v>
      </c>
      <c r="F17" s="4">
        <f t="shared" si="1"/>
        <v>0.66666666666666663</v>
      </c>
    </row>
    <row r="18" spans="1:6" x14ac:dyDescent="0.2">
      <c r="A18" s="5" t="s">
        <v>371</v>
      </c>
      <c r="B18" s="13">
        <f>COUNTIFS('Full Matrix'!D:D,"*"&amp;A18&amp;"*",'Full Matrix'!C:C,"COVERED")</f>
        <v>1</v>
      </c>
      <c r="C18" s="14">
        <f>COUNTIFS('Full Matrix'!D:D,"*"&amp;A18&amp;"*",'Full Matrix'!C:C,"PARTIAL")</f>
        <v>1</v>
      </c>
      <c r="D18" s="15">
        <f>COUNTIFS('Full Matrix'!D:D,"*"&amp;A18&amp;"*",'Full Matrix'!C:C,"GAP")</f>
        <v>0</v>
      </c>
      <c r="E18" s="9">
        <f t="shared" si="0"/>
        <v>2</v>
      </c>
      <c r="F18" s="4">
        <f t="shared" si="1"/>
        <v>0.5</v>
      </c>
    </row>
    <row r="19" spans="1:6" x14ac:dyDescent="0.2">
      <c r="A19" s="5" t="s">
        <v>82</v>
      </c>
      <c r="B19" s="13">
        <f>COUNTIFS('Full Matrix'!D:D,"*"&amp;A19&amp;"*",'Full Matrix'!C:C,"COVERED")</f>
        <v>2</v>
      </c>
      <c r="C19" s="14">
        <f>COUNTIFS('Full Matrix'!D:D,"*"&amp;A19&amp;"*",'Full Matrix'!C:C,"PARTIAL")</f>
        <v>0</v>
      </c>
      <c r="D19" s="15">
        <f>COUNTIFS('Full Matrix'!D:D,"*"&amp;A19&amp;"*",'Full Matrix'!C:C,"GAP")</f>
        <v>0</v>
      </c>
      <c r="E19" s="9">
        <f t="shared" si="0"/>
        <v>2</v>
      </c>
      <c r="F19" s="4">
        <f t="shared" si="1"/>
        <v>1</v>
      </c>
    </row>
    <row r="20" spans="1:6" x14ac:dyDescent="0.2">
      <c r="A20" s="5" t="s">
        <v>93</v>
      </c>
      <c r="B20" s="13">
        <f>COUNTIFS('Full Matrix'!D:D,"*"&amp;A20&amp;"*",'Full Matrix'!C:C,"COVERED")</f>
        <v>2</v>
      </c>
      <c r="C20" s="14">
        <f>COUNTIFS('Full Matrix'!D:D,"*"&amp;A20&amp;"*",'Full Matrix'!C:C,"PARTIAL")</f>
        <v>0</v>
      </c>
      <c r="D20" s="15">
        <f>COUNTIFS('Full Matrix'!D:D,"*"&amp;A20&amp;"*",'Full Matrix'!C:C,"GAP")</f>
        <v>0</v>
      </c>
      <c r="E20" s="9">
        <f t="shared" si="0"/>
        <v>2</v>
      </c>
      <c r="F20" s="4">
        <f t="shared" si="1"/>
        <v>1</v>
      </c>
    </row>
    <row r="21" spans="1:6" x14ac:dyDescent="0.2">
      <c r="A21" s="5" t="s">
        <v>87</v>
      </c>
      <c r="B21" s="13">
        <f>COUNTIFS('Full Matrix'!D:D,"*"&amp;A21&amp;"*",'Full Matrix'!C:C,"COVERED")</f>
        <v>2</v>
      </c>
      <c r="C21" s="14">
        <f>COUNTIFS('Full Matrix'!D:D,"*"&amp;A21&amp;"*",'Full Matrix'!C:C,"PARTIAL")</f>
        <v>1</v>
      </c>
      <c r="D21" s="15">
        <f>COUNTIFS('Full Matrix'!D:D,"*"&amp;A21&amp;"*",'Full Matrix'!C:C,"GAP")</f>
        <v>0</v>
      </c>
      <c r="E21" s="9">
        <f t="shared" si="0"/>
        <v>3</v>
      </c>
      <c r="F21" s="4">
        <f t="shared" si="1"/>
        <v>0.66666666666666663</v>
      </c>
    </row>
    <row r="22" spans="1:6" x14ac:dyDescent="0.2">
      <c r="A22" s="5" t="s">
        <v>78</v>
      </c>
      <c r="B22" s="13">
        <f>COUNTIFS('Full Matrix'!D:D,"*"&amp;A22&amp;"*",'Full Matrix'!C:C,"COVERED")</f>
        <v>1</v>
      </c>
      <c r="C22" s="14">
        <f>COUNTIFS('Full Matrix'!D:D,"*"&amp;A22&amp;"*",'Full Matrix'!C:C,"PARTIAL")</f>
        <v>3</v>
      </c>
      <c r="D22" s="15">
        <f>COUNTIFS('Full Matrix'!D:D,"*"&amp;A22&amp;"*",'Full Matrix'!C:C,"GAP")</f>
        <v>0</v>
      </c>
      <c r="E22" s="9">
        <f t="shared" si="0"/>
        <v>4</v>
      </c>
      <c r="F22" s="4">
        <f t="shared" si="1"/>
        <v>0.25</v>
      </c>
    </row>
    <row r="23" spans="1:6" x14ac:dyDescent="0.2">
      <c r="A23" s="5" t="s">
        <v>462</v>
      </c>
      <c r="B23" s="13">
        <f>COUNTIFS('Full Matrix'!D:D,"*"&amp;A23&amp;"*",'Full Matrix'!C:C,"COVERED")</f>
        <v>1</v>
      </c>
      <c r="C23" s="14">
        <f>COUNTIFS('Full Matrix'!D:D,"*"&amp;A23&amp;"*",'Full Matrix'!C:C,"PARTIAL")</f>
        <v>0</v>
      </c>
      <c r="D23" s="15">
        <f>COUNTIFS('Full Matrix'!D:D,"*"&amp;A23&amp;"*",'Full Matrix'!C:C,"GAP")</f>
        <v>0</v>
      </c>
      <c r="E23" s="9">
        <f t="shared" si="0"/>
        <v>1</v>
      </c>
      <c r="F23" s="4">
        <f t="shared" si="1"/>
        <v>1</v>
      </c>
    </row>
    <row r="24" spans="1:6" x14ac:dyDescent="0.2">
      <c r="A24" s="5" t="s">
        <v>463</v>
      </c>
      <c r="B24" s="13">
        <f>COUNTIFS('Full Matrix'!D:D,"*"&amp;A24&amp;"*",'Full Matrix'!C:C,"COVERED")</f>
        <v>0</v>
      </c>
      <c r="C24" s="14">
        <f>COUNTIFS('Full Matrix'!D:D,"*"&amp;A24&amp;"*",'Full Matrix'!C:C,"PARTIAL")</f>
        <v>0</v>
      </c>
      <c r="D24" s="15">
        <f>COUNTIFS('Full Matrix'!D:D,"*"&amp;A24&amp;"*",'Full Matrix'!C:C,"GAP")</f>
        <v>0</v>
      </c>
      <c r="E24" s="9">
        <f t="shared" si="0"/>
        <v>0</v>
      </c>
      <c r="F24" s="4">
        <f t="shared" si="1"/>
        <v>0</v>
      </c>
    </row>
    <row r="25" spans="1:6" x14ac:dyDescent="0.2">
      <c r="A25" s="5" t="s">
        <v>58</v>
      </c>
      <c r="B25" s="13">
        <f>COUNTIFS('Full Matrix'!D:D,"*"&amp;A25&amp;"*",'Full Matrix'!C:C,"COVERED")</f>
        <v>1</v>
      </c>
      <c r="C25" s="14">
        <f>COUNTIFS('Full Matrix'!D:D,"*"&amp;A25&amp;"*",'Full Matrix'!C:C,"PARTIAL")</f>
        <v>0</v>
      </c>
      <c r="D25" s="15">
        <f>COUNTIFS('Full Matrix'!D:D,"*"&amp;A25&amp;"*",'Full Matrix'!C:C,"GAP")</f>
        <v>0</v>
      </c>
      <c r="E25" s="9">
        <f t="shared" si="0"/>
        <v>1</v>
      </c>
      <c r="F25" s="4">
        <f t="shared" si="1"/>
        <v>1</v>
      </c>
    </row>
    <row r="26" spans="1:6" x14ac:dyDescent="0.2">
      <c r="A26" s="5" t="s">
        <v>164</v>
      </c>
      <c r="B26" s="13">
        <f>COUNTIFS('Full Matrix'!D:D,"*"&amp;A26&amp;"*",'Full Matrix'!C:C,"COVERED")</f>
        <v>1</v>
      </c>
      <c r="C26" s="14">
        <f>COUNTIFS('Full Matrix'!D:D,"*"&amp;A26&amp;"*",'Full Matrix'!C:C,"PARTIAL")</f>
        <v>0</v>
      </c>
      <c r="D26" s="15">
        <f>COUNTIFS('Full Matrix'!D:D,"*"&amp;A26&amp;"*",'Full Matrix'!C:C,"GAP")</f>
        <v>0</v>
      </c>
      <c r="E26" s="9">
        <f t="shared" si="0"/>
        <v>1</v>
      </c>
      <c r="F26" s="4">
        <f t="shared" si="1"/>
        <v>1</v>
      </c>
    </row>
    <row r="27" spans="1:6" x14ac:dyDescent="0.2">
      <c r="A27" s="5" t="s">
        <v>74</v>
      </c>
      <c r="B27" s="13">
        <f>COUNTIFS('Full Matrix'!D:D,"*"&amp;A27&amp;"*",'Full Matrix'!C:C,"COVERED")</f>
        <v>1</v>
      </c>
      <c r="C27" s="14">
        <f>COUNTIFS('Full Matrix'!D:D,"*"&amp;A27&amp;"*",'Full Matrix'!C:C,"PARTIAL")</f>
        <v>0</v>
      </c>
      <c r="D27" s="15">
        <f>COUNTIFS('Full Matrix'!D:D,"*"&amp;A27&amp;"*",'Full Matrix'!C:C,"GAP")</f>
        <v>0</v>
      </c>
      <c r="E27" s="9">
        <f t="shared" si="0"/>
        <v>1</v>
      </c>
      <c r="F27" s="4">
        <f t="shared" si="1"/>
        <v>1</v>
      </c>
    </row>
    <row r="28" spans="1:6" x14ac:dyDescent="0.2">
      <c r="A28" s="5" t="s">
        <v>379</v>
      </c>
      <c r="B28" s="13">
        <f>COUNTIFS('Full Matrix'!D:D,"*"&amp;A28&amp;"*",'Full Matrix'!C:C,"COVERED")</f>
        <v>1</v>
      </c>
      <c r="C28" s="14">
        <f>COUNTIFS('Full Matrix'!D:D,"*"&amp;A28&amp;"*",'Full Matrix'!C:C,"PARTIAL")</f>
        <v>0</v>
      </c>
      <c r="D28" s="15">
        <f>COUNTIFS('Full Matrix'!D:D,"*"&amp;A28&amp;"*",'Full Matrix'!C:C,"GAP")</f>
        <v>0</v>
      </c>
      <c r="E28" s="9">
        <f t="shared" si="0"/>
        <v>1</v>
      </c>
      <c r="F28" s="4">
        <f t="shared" si="1"/>
        <v>1</v>
      </c>
    </row>
    <row r="29" spans="1:6" x14ac:dyDescent="0.2">
      <c r="A29" s="5" t="s">
        <v>345</v>
      </c>
      <c r="B29" s="13">
        <f>COUNTIFS('Full Matrix'!D:D,"*"&amp;A29&amp;"*",'Full Matrix'!C:C,"COVERED")</f>
        <v>2</v>
      </c>
      <c r="C29" s="14">
        <f>COUNTIFS('Full Matrix'!D:D,"*"&amp;A29&amp;"*",'Full Matrix'!C:C,"PARTIAL")</f>
        <v>3</v>
      </c>
      <c r="D29" s="15">
        <f>COUNTIFS('Full Matrix'!D:D,"*"&amp;A29&amp;"*",'Full Matrix'!C:C,"GAP")</f>
        <v>0</v>
      </c>
      <c r="E29" s="9">
        <f t="shared" si="0"/>
        <v>5</v>
      </c>
      <c r="F29" s="4">
        <f t="shared" si="1"/>
        <v>0.4</v>
      </c>
    </row>
    <row r="30" spans="1:6" x14ac:dyDescent="0.2">
      <c r="A30" s="8" t="s">
        <v>464</v>
      </c>
      <c r="B30" s="9">
        <f>SUM(B4:B29)</f>
        <v>75</v>
      </c>
      <c r="C30" s="9">
        <f>SUM(C4:C29)</f>
        <v>25</v>
      </c>
      <c r="D30" s="9">
        <f>SUM(D4:D29)</f>
        <v>1</v>
      </c>
      <c r="E30" s="9">
        <f>SUM(E4:E29)</f>
        <v>101</v>
      </c>
      <c r="F30" s="10">
        <f t="shared" si="1"/>
        <v>0.74257425742574257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showGridLines="0" workbookViewId="0">
      <pane ySplit="3" topLeftCell="A4" activePane="bottomLeft" state="frozen"/>
      <selection pane="bottomLeft" sqref="A1:D1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28" customWidth="1"/>
    <col min="4" max="4" width="70" customWidth="1"/>
  </cols>
  <sheetData>
    <row r="1" spans="1:4" ht="20" x14ac:dyDescent="0.2">
      <c r="A1" s="29" t="s">
        <v>465</v>
      </c>
      <c r="B1" s="21"/>
      <c r="C1" s="21"/>
      <c r="D1" s="21"/>
    </row>
    <row r="3" spans="1:4" x14ac:dyDescent="0.2">
      <c r="A3" s="1" t="s">
        <v>466</v>
      </c>
      <c r="B3" s="1" t="s">
        <v>467</v>
      </c>
      <c r="C3" s="1" t="s">
        <v>468</v>
      </c>
      <c r="D3" s="1" t="s">
        <v>469</v>
      </c>
    </row>
    <row r="4" spans="1:4" ht="28" customHeight="1" x14ac:dyDescent="0.2">
      <c r="A4" s="16" t="s">
        <v>470</v>
      </c>
      <c r="B4" s="5" t="s">
        <v>471</v>
      </c>
      <c r="C4" s="5" t="s">
        <v>472</v>
      </c>
      <c r="D4" s="5" t="s">
        <v>473</v>
      </c>
    </row>
    <row r="5" spans="1:4" ht="28" customHeight="1" x14ac:dyDescent="0.2">
      <c r="A5" s="16" t="s">
        <v>470</v>
      </c>
      <c r="B5" s="5" t="s">
        <v>471</v>
      </c>
      <c r="C5" s="5" t="s">
        <v>472</v>
      </c>
      <c r="D5" s="5" t="s">
        <v>474</v>
      </c>
    </row>
    <row r="6" spans="1:4" ht="28" customHeight="1" x14ac:dyDescent="0.2">
      <c r="A6" s="16" t="s">
        <v>470</v>
      </c>
      <c r="B6" s="5" t="s">
        <v>471</v>
      </c>
      <c r="C6" s="5" t="s">
        <v>472</v>
      </c>
      <c r="D6" s="5" t="s">
        <v>475</v>
      </c>
    </row>
    <row r="7" spans="1:4" ht="28" customHeight="1" x14ac:dyDescent="0.2">
      <c r="A7" s="16" t="s">
        <v>470</v>
      </c>
      <c r="B7" s="5" t="s">
        <v>471</v>
      </c>
      <c r="C7" s="5" t="s">
        <v>472</v>
      </c>
      <c r="D7" s="5" t="s">
        <v>476</v>
      </c>
    </row>
    <row r="8" spans="1:4" ht="28" customHeight="1" x14ac:dyDescent="0.2">
      <c r="A8" s="16" t="s">
        <v>470</v>
      </c>
      <c r="B8" s="5" t="s">
        <v>471</v>
      </c>
      <c r="C8" s="5" t="s">
        <v>472</v>
      </c>
      <c r="D8" s="5" t="s">
        <v>477</v>
      </c>
    </row>
    <row r="9" spans="1:4" ht="28" customHeight="1" x14ac:dyDescent="0.2">
      <c r="A9" s="17" t="s">
        <v>478</v>
      </c>
      <c r="B9" s="5" t="s">
        <v>479</v>
      </c>
      <c r="C9" s="5" t="s">
        <v>480</v>
      </c>
      <c r="D9" s="5" t="s">
        <v>481</v>
      </c>
    </row>
    <row r="10" spans="1:4" ht="28" customHeight="1" x14ac:dyDescent="0.2">
      <c r="A10" s="17" t="s">
        <v>478</v>
      </c>
      <c r="B10" s="5" t="s">
        <v>479</v>
      </c>
      <c r="C10" s="5" t="s">
        <v>480</v>
      </c>
      <c r="D10" s="5" t="s">
        <v>482</v>
      </c>
    </row>
    <row r="11" spans="1:4" ht="28" customHeight="1" x14ac:dyDescent="0.2">
      <c r="A11" s="17" t="s">
        <v>478</v>
      </c>
      <c r="B11" s="5" t="s">
        <v>479</v>
      </c>
      <c r="C11" s="5" t="s">
        <v>480</v>
      </c>
      <c r="D11" s="5" t="s">
        <v>483</v>
      </c>
    </row>
    <row r="12" spans="1:4" ht="28" customHeight="1" x14ac:dyDescent="0.2">
      <c r="A12" s="17" t="s">
        <v>478</v>
      </c>
      <c r="B12" s="5" t="s">
        <v>479</v>
      </c>
      <c r="C12" s="5" t="s">
        <v>480</v>
      </c>
      <c r="D12" s="5" t="s">
        <v>484</v>
      </c>
    </row>
    <row r="13" spans="1:4" ht="28" customHeight="1" x14ac:dyDescent="0.2">
      <c r="A13" s="17" t="s">
        <v>478</v>
      </c>
      <c r="B13" s="5" t="s">
        <v>479</v>
      </c>
      <c r="C13" s="5" t="s">
        <v>480</v>
      </c>
      <c r="D13" s="5" t="s">
        <v>485</v>
      </c>
    </row>
    <row r="14" spans="1:4" ht="28" customHeight="1" x14ac:dyDescent="0.2">
      <c r="A14" s="17" t="s">
        <v>478</v>
      </c>
      <c r="B14" s="5" t="s">
        <v>479</v>
      </c>
      <c r="C14" s="5" t="s">
        <v>480</v>
      </c>
      <c r="D14" s="5" t="s">
        <v>486</v>
      </c>
    </row>
    <row r="15" spans="1:4" ht="28" customHeight="1" x14ac:dyDescent="0.2">
      <c r="A15" s="18" t="s">
        <v>487</v>
      </c>
      <c r="B15" s="5" t="s">
        <v>488</v>
      </c>
      <c r="C15" s="5" t="s">
        <v>489</v>
      </c>
      <c r="D15" s="5" t="s">
        <v>490</v>
      </c>
    </row>
    <row r="16" spans="1:4" ht="28" customHeight="1" x14ac:dyDescent="0.2">
      <c r="A16" s="18" t="s">
        <v>487</v>
      </c>
      <c r="B16" s="5" t="s">
        <v>488</v>
      </c>
      <c r="C16" s="5" t="s">
        <v>489</v>
      </c>
      <c r="D16" s="5" t="s">
        <v>491</v>
      </c>
    </row>
    <row r="17" spans="1:4" ht="28" customHeight="1" x14ac:dyDescent="0.2">
      <c r="A17" s="18" t="s">
        <v>487</v>
      </c>
      <c r="B17" s="5" t="s">
        <v>488</v>
      </c>
      <c r="C17" s="5" t="s">
        <v>489</v>
      </c>
      <c r="D17" s="5" t="s">
        <v>492</v>
      </c>
    </row>
    <row r="18" spans="1:4" ht="28" customHeight="1" x14ac:dyDescent="0.2">
      <c r="A18" s="18" t="s">
        <v>487</v>
      </c>
      <c r="B18" s="5" t="s">
        <v>488</v>
      </c>
      <c r="C18" s="5" t="s">
        <v>489</v>
      </c>
      <c r="D18" s="5" t="s">
        <v>493</v>
      </c>
    </row>
    <row r="19" spans="1:4" ht="28" customHeight="1" x14ac:dyDescent="0.2">
      <c r="A19" s="19" t="s">
        <v>494</v>
      </c>
      <c r="B19" s="5" t="s">
        <v>495</v>
      </c>
      <c r="C19" s="5" t="s">
        <v>496</v>
      </c>
      <c r="D19" s="5" t="s">
        <v>497</v>
      </c>
    </row>
    <row r="20" spans="1:4" ht="28" customHeight="1" x14ac:dyDescent="0.2">
      <c r="A20" s="19" t="s">
        <v>494</v>
      </c>
      <c r="B20" s="5" t="s">
        <v>495</v>
      </c>
      <c r="C20" s="5" t="s">
        <v>496</v>
      </c>
      <c r="D20" s="5" t="s">
        <v>441</v>
      </c>
    </row>
    <row r="21" spans="1:4" ht="28" customHeight="1" x14ac:dyDescent="0.2">
      <c r="A21" s="19" t="s">
        <v>494</v>
      </c>
      <c r="B21" s="5" t="s">
        <v>495</v>
      </c>
      <c r="C21" s="5" t="s">
        <v>496</v>
      </c>
      <c r="D21" s="5" t="s">
        <v>498</v>
      </c>
    </row>
    <row r="22" spans="1:4" ht="28" customHeight="1" x14ac:dyDescent="0.2">
      <c r="A22" s="19" t="s">
        <v>494</v>
      </c>
      <c r="B22" s="5" t="s">
        <v>495</v>
      </c>
      <c r="C22" s="5" t="s">
        <v>496</v>
      </c>
      <c r="D22" s="5" t="s">
        <v>499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Full Matrix</vt:lpstr>
      <vt:lpstr>Gap Backlog</vt:lpstr>
      <vt:lpstr>Partial Refinements</vt:lpstr>
      <vt:lpstr>Module Coverage</vt:lpstr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Sanchez</cp:lastModifiedBy>
  <dcterms:created xsi:type="dcterms:W3CDTF">2026-04-23T07:26:24Z</dcterms:created>
  <dcterms:modified xsi:type="dcterms:W3CDTF">2026-04-23T13:34:48Z</dcterms:modified>
</cp:coreProperties>
</file>