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psanchez/Downloads/hcm360/doc/lgu/"/>
    </mc:Choice>
  </mc:AlternateContent>
  <xr:revisionPtr revIDLastSave="0" documentId="13_ncr:1_{3805B987-093B-7D48-A2FC-1425426B1197}" xr6:coauthVersionLast="47" xr6:coauthVersionMax="47" xr10:uidLastSave="{00000000-0000-0000-0000-000000000000}"/>
  <bookViews>
    <workbookView xWindow="0" yWindow="500" windowWidth="28800" windowHeight="17500" activeTab="8" xr2:uid="{00000000-000D-0000-FFFF-FFFF00000000}"/>
  </bookViews>
  <sheets>
    <sheet name="Summary" sheetId="1" r:id="rId1"/>
    <sheet name="Full Matrix" sheetId="2" r:id="rId2"/>
    <sheet name="Gap Backlog" sheetId="3" r:id="rId3"/>
    <sheet name="Partial Refinements" sheetId="4" r:id="rId4"/>
    <sheet name="Module Coverage" sheetId="5" r:id="rId5"/>
    <sheet name="Roadmap" sheetId="6" r:id="rId6"/>
    <sheet name="Features vs Requested" sheetId="7" r:id="rId7"/>
    <sheet name="Job Requisition Gap" sheetId="8" r:id="rId8"/>
    <sheet name="Task Management Gap" sheetId="9" r:id="rId9"/>
  </sheets>
  <definedNames>
    <definedName name="_xlnm._FilterDatabase" localSheetId="6" hidden="1">'Features vs Requested'!$A$13:$E$190</definedName>
    <definedName name="_xlnm._FilterDatabase" localSheetId="1" hidden="1">'Full Matrix'!$A$1:$G$114</definedName>
    <definedName name="_xlnm._FilterDatabase" localSheetId="2" hidden="1">'Gap Backlog'!$A$3:$G$3</definedName>
    <definedName name="_xlnm._FilterDatabase" localSheetId="7" hidden="1">'Job Requisition Gap'!$A$19:$G$59</definedName>
    <definedName name="_xlnm._FilterDatabase" localSheetId="3" hidden="1">'Partial Refinements'!$A$3:$D$22</definedName>
    <definedName name="_xlnm._FilterDatabase" localSheetId="8" hidden="1">'Task Management Gap'!$A$19:$G$75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5" l="1"/>
  <c r="C32" i="5"/>
  <c r="B32" i="5"/>
  <c r="E32" i="5" s="1"/>
  <c r="F32" i="5" s="1"/>
  <c r="D31" i="5"/>
  <c r="C31" i="5"/>
  <c r="B31" i="5"/>
  <c r="E31" i="5" s="1"/>
  <c r="F31" i="5" s="1"/>
  <c r="D30" i="5"/>
  <c r="C30" i="5"/>
  <c r="B30" i="5"/>
  <c r="E30" i="5" s="1"/>
  <c r="F30" i="5" s="1"/>
  <c r="D29" i="5"/>
  <c r="C29" i="5"/>
  <c r="B29" i="5"/>
  <c r="E29" i="5" s="1"/>
  <c r="F29" i="5" s="1"/>
  <c r="D28" i="5"/>
  <c r="C28" i="5"/>
  <c r="B28" i="5"/>
  <c r="E28" i="5" s="1"/>
  <c r="F28" i="5" s="1"/>
  <c r="D27" i="5"/>
  <c r="C27" i="5"/>
  <c r="E27" i="5" s="1"/>
  <c r="F27" i="5" s="1"/>
  <c r="B27" i="5"/>
  <c r="D26" i="5"/>
  <c r="C26" i="5"/>
  <c r="B26" i="5"/>
  <c r="E26" i="5" s="1"/>
  <c r="F26" i="5" s="1"/>
  <c r="E25" i="5"/>
  <c r="F25" i="5" s="1"/>
  <c r="D25" i="5"/>
  <c r="C25" i="5"/>
  <c r="B25" i="5"/>
  <c r="D24" i="5"/>
  <c r="C24" i="5"/>
  <c r="B24" i="5"/>
  <c r="E24" i="5" s="1"/>
  <c r="F24" i="5" s="1"/>
  <c r="D23" i="5"/>
  <c r="C23" i="5"/>
  <c r="B23" i="5"/>
  <c r="E23" i="5" s="1"/>
  <c r="F23" i="5" s="1"/>
  <c r="D22" i="5"/>
  <c r="E22" i="5" s="1"/>
  <c r="F22" i="5" s="1"/>
  <c r="C22" i="5"/>
  <c r="B22" i="5"/>
  <c r="D21" i="5"/>
  <c r="C21" i="5"/>
  <c r="B21" i="5"/>
  <c r="E21" i="5" s="1"/>
  <c r="F21" i="5" s="1"/>
  <c r="D20" i="5"/>
  <c r="C20" i="5"/>
  <c r="B20" i="5"/>
  <c r="E20" i="5" s="1"/>
  <c r="F20" i="5" s="1"/>
  <c r="D19" i="5"/>
  <c r="C19" i="5"/>
  <c r="E19" i="5" s="1"/>
  <c r="F19" i="5" s="1"/>
  <c r="B19" i="5"/>
  <c r="D18" i="5"/>
  <c r="C18" i="5"/>
  <c r="B18" i="5"/>
  <c r="E18" i="5" s="1"/>
  <c r="F18" i="5" s="1"/>
  <c r="E17" i="5"/>
  <c r="F17" i="5" s="1"/>
  <c r="D17" i="5"/>
  <c r="C17" i="5"/>
  <c r="B17" i="5"/>
  <c r="D16" i="5"/>
  <c r="C16" i="5"/>
  <c r="B16" i="5"/>
  <c r="E16" i="5" s="1"/>
  <c r="F16" i="5" s="1"/>
  <c r="D15" i="5"/>
  <c r="C15" i="5"/>
  <c r="B15" i="5"/>
  <c r="E15" i="5" s="1"/>
  <c r="F15" i="5" s="1"/>
  <c r="D14" i="5"/>
  <c r="C14" i="5"/>
  <c r="E14" i="5" s="1"/>
  <c r="F14" i="5" s="1"/>
  <c r="B14" i="5"/>
  <c r="D13" i="5"/>
  <c r="C13" i="5"/>
  <c r="B13" i="5"/>
  <c r="E13" i="5" s="1"/>
  <c r="F13" i="5" s="1"/>
  <c r="D12" i="5"/>
  <c r="C12" i="5"/>
  <c r="B12" i="5"/>
  <c r="E12" i="5" s="1"/>
  <c r="F12" i="5" s="1"/>
  <c r="D11" i="5"/>
  <c r="C11" i="5"/>
  <c r="E11" i="5" s="1"/>
  <c r="F11" i="5" s="1"/>
  <c r="B11" i="5"/>
  <c r="D10" i="5"/>
  <c r="C10" i="5"/>
  <c r="B10" i="5"/>
  <c r="E10" i="5" s="1"/>
  <c r="F10" i="5" s="1"/>
  <c r="D9" i="5"/>
  <c r="C9" i="5"/>
  <c r="B9" i="5"/>
  <c r="E9" i="5" s="1"/>
  <c r="F9" i="5" s="1"/>
  <c r="D8" i="5"/>
  <c r="C8" i="5"/>
  <c r="B8" i="5"/>
  <c r="E8" i="5" s="1"/>
  <c r="F8" i="5" s="1"/>
  <c r="D7" i="5"/>
  <c r="C7" i="5"/>
  <c r="B7" i="5"/>
  <c r="E7" i="5" s="1"/>
  <c r="F7" i="5" s="1"/>
  <c r="D6" i="5"/>
  <c r="C6" i="5"/>
  <c r="B6" i="5"/>
  <c r="E6" i="5" s="1"/>
  <c r="F6" i="5" s="1"/>
  <c r="D5" i="5"/>
  <c r="C5" i="5"/>
  <c r="B5" i="5"/>
  <c r="E5" i="5" s="1"/>
  <c r="F5" i="5" s="1"/>
  <c r="D4" i="5"/>
  <c r="D33" i="5" s="1"/>
  <c r="C4" i="5"/>
  <c r="C33" i="5" s="1"/>
  <c r="B4" i="5"/>
  <c r="E4" i="5" s="1"/>
  <c r="B4" i="3"/>
  <c r="B10" i="1"/>
  <c r="B11" i="1" s="1"/>
  <c r="B9" i="1"/>
  <c r="B8" i="1"/>
  <c r="C9" i="1" l="1"/>
  <c r="C8" i="1"/>
  <c r="E33" i="5"/>
  <c r="F33" i="5" s="1"/>
  <c r="F4" i="5"/>
  <c r="C10" i="1"/>
  <c r="B33" i="5"/>
</calcChain>
</file>

<file path=xl/sharedStrings.xml><?xml version="1.0" encoding="utf-8"?>
<sst xmlns="http://schemas.openxmlformats.org/spreadsheetml/2006/main" count="2662" uniqueCount="1070">
  <si>
    <t>HCM360 HRIS — LGU Gap Analysis</t>
  </si>
  <si>
    <t>Municipality of Mariveles, Province of Bataan — Human Resource Management Office</t>
  </si>
  <si>
    <t>As Of April 24, 2026  ·  HCM360 v1.0.0</t>
  </si>
  <si>
    <t>Coverage Summary</t>
  </si>
  <si>
    <t>Status</t>
  </si>
  <si>
    <t>Count</t>
  </si>
  <si>
    <t>% of Total</t>
  </si>
  <si>
    <t>Meaning</t>
  </si>
  <si>
    <t>COVERED</t>
  </si>
  <si>
    <t>Fully implemented — production-ready for LGU use</t>
  </si>
  <si>
    <t>PARTIAL</t>
  </si>
  <si>
    <t>Exists; requires LGU-specific tuning, templates, or configuration</t>
  </si>
  <si>
    <t>GAP</t>
  </si>
  <si>
    <t>Needs new development before deployment</t>
  </si>
  <si>
    <t>TOTAL</t>
  </si>
  <si>
    <t>Requirements mapped from LGU document</t>
  </si>
  <si>
    <t>Critical Gaps — Top Priorities for LGU Deployment</t>
  </si>
  <si>
    <t>• CS Form No. 6 (revised 2020) — leave application strict compliance</t>
  </si>
  <si>
    <t>• CS Form No. 7 (s.2017) — Exit Interview</t>
  </si>
  <si>
    <t>• Personal Data Sheet (PDS) — CSC-prescribed template with versioning</t>
  </si>
  <si>
    <t>• IPCR / OPCR performance contract templates</t>
  </si>
  <si>
    <t>• Travel Order + Locator Slip modules (pre-approval + DTR integration)</t>
  </si>
  <si>
    <t>• Face-recognition + mobile geo-tagged check-in (flag raising/lowering)</t>
  </si>
  <si>
    <t>• Step Increment tracking (every 3 years from Date of Original Appointment)</t>
  </si>
  <si>
    <t>• Retirement monitoring (Age 60 early / 65 mandatory) + multi-recipient notice</t>
  </si>
  <si>
    <t>• Job Order / LSB / BHW / Nutritionist Scholar contract workflows</t>
  </si>
  <si>
    <t>• CSC Eligibility reporting split by 1st Level vs 2nd Level by gender</t>
  </si>
  <si>
    <t>Section</t>
  </si>
  <si>
    <t>Requirement</t>
  </si>
  <si>
    <t>HCM360 Module</t>
  </si>
  <si>
    <t>Page / Route</t>
  </si>
  <si>
    <t>Gap / Notes</t>
  </si>
  <si>
    <t>Priority</t>
  </si>
  <si>
    <t>1. CSC PRIME-HRM Level 2</t>
  </si>
  <si>
    <t>Recruitment, Selection, Placement (RSP)</t>
  </si>
  <si>
    <t>Recruitment</t>
  </si>
  <si>
    <t>/recruitment</t>
  </si>
  <si>
    <t>Requisitions, candidates, CSC eligibilities, qualification standards</t>
  </si>
  <si>
    <t>Low</t>
  </si>
  <si>
    <t>Performance Management (PM)</t>
  </si>
  <si>
    <t>Performance Management</t>
  </si>
  <si>
    <t>/performance</t>
  </si>
  <si>
    <t>Review cycles, KPIs, competency-based evaluation</t>
  </si>
  <si>
    <t>Learning and Development (L&amp;D)</t>
  </si>
  <si>
    <t>Learning &amp; Development</t>
  </si>
  <si>
    <t>/learning</t>
  </si>
  <si>
    <t>Training catalog, enrollments, certifications</t>
  </si>
  <si>
    <t>Rewards and Recognition (R&amp;R)</t>
  </si>
  <si>
    <t>Rewards &amp; Recognition</t>
  </si>
  <si>
    <t>/rewards</t>
  </si>
  <si>
    <t>Awards, praise wall, nominations</t>
  </si>
  <si>
    <t>CSC PRIME-HRM Level 2 certification alignment</t>
  </si>
  <si>
    <t>All four modules</t>
  </si>
  <si>
    <t>/admin/reference</t>
  </si>
  <si>
    <t>Modules present; formal CSC audit alignment pending</t>
  </si>
  <si>
    <t>High</t>
  </si>
  <si>
    <t>2. Report Generating (Functional)</t>
  </si>
  <si>
    <t>Data sources — pull from multiple DBs/systems</t>
  </si>
  <si>
    <t>Services</t>
  </si>
  <si>
    <t>services/db.py + reporting_service</t>
  </si>
  <si>
    <t>Centralized psycopg2 pool with view-based aggregation</t>
  </si>
  <si>
    <t>Report design (drag-drop / designer)</t>
  </si>
  <si>
    <t>Analytics</t>
  </si>
  <si>
    <t>/reports (report builder)</t>
  </si>
  <si>
    <t>Saved queries + parameters; drag-drop UI would enhance</t>
  </si>
  <si>
    <t>Medium</t>
  </si>
  <si>
    <t>Data analysis (query, analyze, summarize)</t>
  </si>
  <si>
    <t>/reports/demographics, /reports</t>
  </si>
  <si>
    <t>Materialized views + SQL-driven metrics</t>
  </si>
  <si>
    <t>Manual + automated report generation</t>
  </si>
  <si>
    <t>Analytics + Reminders</t>
  </si>
  <si>
    <t>/admin/reminders, /reports</t>
  </si>
  <si>
    <t>Reminder rules can trigger scheduled reports</t>
  </si>
  <si>
    <t>Output: screen, PDF, spreadsheet, print</t>
  </si>
  <si>
    <t>Reporting Service</t>
  </si>
  <si>
    <t>services/reporting_service.py</t>
  </si>
  <si>
    <t>PDF via ReportLab; CSV/Excel export available</t>
  </si>
  <si>
    <t>Output: email distribution</t>
  </si>
  <si>
    <t>Reminders</t>
  </si>
  <si>
    <t>/admin/reminders</t>
  </si>
  <si>
    <t>Reminder engine exists; SMTP config must be wired in .env</t>
  </si>
  <si>
    <t>Security — authentication &amp; authorization</t>
  </si>
  <si>
    <t>Access Service</t>
  </si>
  <si>
    <t>/admin/access-matrix</t>
  </si>
  <si>
    <t>3-tier RBAC (page, feature, modification)</t>
  </si>
  <si>
    <t>2. Report Generating (Non-Functional)</t>
  </si>
  <si>
    <t>Performance (speed, load response)</t>
  </si>
  <si>
    <t>Infrastructure</t>
  </si>
  <si>
    <t>docker-compose.yml</t>
  </si>
  <si>
    <t>PG tuned (shared_buffers 256MB, max_connections 200)</t>
  </si>
  <si>
    <t>Scalability (data volume, user growth)</t>
  </si>
  <si>
    <t>Stateless web tier, pool-based DB access, volume-backed</t>
  </si>
  <si>
    <t>Reliability (error handling, integrity, audit)</t>
  </si>
  <si>
    <t>Audit Logs</t>
  </si>
  <si>
    <t>audit_logs schema</t>
  </si>
  <si>
    <t>Trigger-based change capture on all mutations</t>
  </si>
  <si>
    <t>3. Attendance Monitoring</t>
  </si>
  <si>
    <t>Online leave application &amp; approval</t>
  </si>
  <si>
    <t>Leave Management</t>
  </si>
  <si>
    <t>/leave/requests, /me/leaves</t>
  </si>
  <si>
    <t>Full workflow: PENDING → APPROVED → balance debit</t>
  </si>
  <si>
    <t>Compensatory Time Off (CTO) workflow</t>
  </si>
  <si>
    <t>/leave/types</t>
  </si>
  <si>
    <t>Add CTO to lv_types with accrual rules tied to OT</t>
  </si>
  <si>
    <t>Travel Order — online application &amp; pre-approval</t>
  </si>
  <si>
    <t>Core HR</t>
  </si>
  <si>
    <t>/travel-orders/, /travel-orders/new</t>
  </si>
  <si>
    <t>core.travel_orders with 2-level approval (supervisor → head); printable TO form</t>
  </si>
  <si>
    <t>Request for Training / Office Order</t>
  </si>
  <si>
    <t>L&amp;D + Workflow</t>
  </si>
  <si>
    <t>/learning/enrollments</t>
  </si>
  <si>
    <t>Enrollments exist; office-order form template needed</t>
  </si>
  <si>
    <t>Locator Slip with pre-approval</t>
  </si>
  <si>
    <t>/locator-slips/, /locator-slips/new</t>
  </si>
  <si>
    <t>core.locator_slips with supervisor approve/reject + time-out/return tracking</t>
  </si>
  <si>
    <t>Pre-approved items auto-reflect on DTR + invalidate overlaps</t>
  </si>
  <si>
    <t>Attendance</t>
  </si>
  <si>
    <t>/attendance/daily</t>
  </si>
  <si>
    <t>Leave requests already block DTR-day conflicts</t>
  </si>
  <si>
    <t>Mobile / desktop time-tracking with OT + remote check-in</t>
  </si>
  <si>
    <t>/me/attendance</t>
  </si>
  <si>
    <t>Web time-in/out exists; native mobile + remote check-in need build</t>
  </si>
  <si>
    <t>Online DTR check, acknowledge, approve</t>
  </si>
  <si>
    <t>/attendance/daily, /me/attendance</t>
  </si>
  <si>
    <t>Approval workflow wired to supervisor</t>
  </si>
  <si>
    <t>Civil Service Form No. 6 (revised 2020) — strict implementation</t>
  </si>
  <si>
    <t>/leave/cs-form-6, /leave/cs-form-6/new</t>
  </si>
  <si>
    <t>Extended lv_requests with CSC fields (whereabouts, commutation, recommend, head action); printable CSC form</t>
  </si>
  <si>
    <t>Travel Order + Locator Slip pre-approval &amp; monitoring</t>
  </si>
  <si>
    <t>/travel-orders/, /locator-slips/</t>
  </si>
  <si>
    <t>Dedicated modules for both with pre-approval workflow and DTR linkage</t>
  </si>
  <si>
    <t>Monitor habitual tardiness &amp; AWOL</t>
  </si>
  <si>
    <t>/attendance/alerts</t>
  </si>
  <si>
    <t>att_alerts generates alerts on thresholds</t>
  </si>
  <si>
    <t>Auto-alert when VL &lt; 5 days or tardiness reaches 7x</t>
  </si>
  <si>
    <t>Threshold rules configurable; specific LGU thresholds to be seeded</t>
  </si>
  <si>
    <t>Face-recognition attendance / automated record</t>
  </si>
  <si>
    <t>/checkin/, /checkin/enroll</t>
  </si>
  <si>
    <t>Browser face-api.js 128-d descriptor match; threshold configurable at /admin/checkin-settings</t>
  </si>
  <si>
    <t>Shift schedule mgmt (security, rescue, medical, on-call)</t>
  </si>
  <si>
    <t>/attendance/shifts, /attendance/shift-assignments</t>
  </si>
  <si>
    <t>Shift types + per-employee assignments</t>
  </si>
  <si>
    <t>Flag raising / lowering mobile check-in with photo</t>
  </si>
  <si>
    <t>/checkin/ (activity=flag_raising|flag_lowering)</t>
  </si>
  <si>
    <t>Geolocation + face check-in with activity selector; configurable activity types</t>
  </si>
  <si>
    <t>4. Recruitment</t>
  </si>
  <si>
    <t>Auto-notify qualified next-in-rank of posted vacancy</t>
  </si>
  <si>
    <t>Recruitment + Reminders</t>
  </si>
  <si>
    <t>/recruitment/requisitions</t>
  </si>
  <si>
    <t>Requisition posting exists; next-in-rank ranking rule needs logic</t>
  </si>
  <si>
    <t>Pre-assess online applications vs CSC qualification standards</t>
  </si>
  <si>
    <t>/recruitment/candidates</t>
  </si>
  <si>
    <t>rsp.qualification_standards + rsp.csc_eligibilities</t>
  </si>
  <si>
    <t>Retain applications for 5 years</t>
  </si>
  <si>
    <t>DMS + Retention</t>
  </si>
  <si>
    <t>/admin/reference-data/retention_policies</t>
  </si>
  <si>
    <t>Set retention policy to 5 years for recruitment docs</t>
  </si>
  <si>
    <t>Source candidates — internal/external + 3 conspicuous places + job portals</t>
  </si>
  <si>
    <t>Internal + external tracked; job-portal API integration additional</t>
  </si>
  <si>
    <t>Online approval — JO, LSB, Barangay Health Worker/Nutritionist Scholar contracts</t>
  </si>
  <si>
    <t>/lgu-contracts/, /lgu-contracts/new</t>
  </si>
  <si>
    <t>core.lgu_contract_types seeded with JO/LSB/BHW/NS; core.lgu_contracts with approval workflow &amp; printable contract</t>
  </si>
  <si>
    <t>4.1 Onboarding / Offboarding</t>
  </si>
  <si>
    <t>Digital onboarding — forms, checklists, policy ack, equipment, training</t>
  </si>
  <si>
    <t>Onboarding</t>
  </si>
  <si>
    <t>/me/onboarding</t>
  </si>
  <si>
    <t>Checklist with stages (ACTIVATED, etc.)</t>
  </si>
  <si>
    <t>Electronic signature on documents</t>
  </si>
  <si>
    <t>Core</t>
  </si>
  <si>
    <t>/admin/esignature-settings, /esign/&lt;kind&gt;/&lt;id&gt;/sign</t>
  </si>
  <si>
    <t>Canvas pad (in-browser) + DocuSign adapter (stub); core.document_signatures + core.esignature_settings</t>
  </si>
  <si>
    <t>Offboarding — exit interview, CS Form No. 7, transition, asset return, access removal, archive</t>
  </si>
  <si>
    <t>/offboarding/exit-interview, /offboarding/clearance</t>
  </si>
  <si>
    <t>Exit interview form with ratings; CS Form 7 clearance with 9 default signatory items + auto-CLEARED status</t>
  </si>
  <si>
    <t>5. Performance Management</t>
  </si>
  <si>
    <t>Goal-setting &amp; progress tracking for employees, dept heads, PM team</t>
  </si>
  <si>
    <t>/performance/goals</t>
  </si>
  <si>
    <t>KPIs + competencies per cycle</t>
  </si>
  <si>
    <t>IPCR &amp; OPCR periodic review</t>
  </si>
  <si>
    <t>/performance/reviews</t>
  </si>
  <si>
    <t>Review engine exists; IPCR/OPCR CSC templates to be added</t>
  </si>
  <si>
    <t>Succession planning — critical roles + internal candidates</t>
  </si>
  <si>
    <t>Performance + Workforce Planning</t>
  </si>
  <si>
    <t>/workforce-planning, /performance</t>
  </si>
  <si>
    <t>Scenarios exist; succession slate UI needs dedicated page</t>
  </si>
  <si>
    <t>6. Learning and Development</t>
  </si>
  <si>
    <t>Post available trainings/seminars; track needs</t>
  </si>
  <si>
    <t>L&amp;D</t>
  </si>
  <si>
    <t>/learning/catalog, /learning/enrollments</t>
  </si>
  <si>
    <t>Catalog with prerequisites, needs-based flagging</t>
  </si>
  <si>
    <t>Training attendance via mobile with geotag + AM/PM + date</t>
  </si>
  <si>
    <t>/learning/sessions/&lt;id&gt;/checkin</t>
  </si>
  <si>
    <t>Mobile camera + GPS check-in with AM/PM shift_period column on lrn_attendance_logs</t>
  </si>
  <si>
    <t>Online Narrative Report Form before acknowledgment</t>
  </si>
  <si>
    <t>/learning/nrf, /learning/nrf/new/&lt;enrollment_id&gt;</t>
  </si>
  <si>
    <t>Form + backend tied to enrollment via lrn_narrative_reports; LD_NRF_APPROVAL workflow</t>
  </si>
  <si>
    <t>7.1 Loyalty Service Award</t>
  </si>
  <si>
    <t>Auto-identify employees reaching 10 years continuous service</t>
  </si>
  <si>
    <t>R&amp;R</t>
  </si>
  <si>
    <t>/rewards/loyalty</t>
  </si>
  <si>
    <t>Scan creates rwd_loyalty_milestones rows at 10/15/20/25/30 year marks</t>
  </si>
  <si>
    <t>Every 5 years thereafter (15, 20, 25, 30, …)</t>
  </si>
  <si>
    <t>Scanner iterates milestones [10,15,20,25,30,35,40] within 180-day horizon</t>
  </si>
  <si>
    <t>Auto Notice / Memo generation for loyalty award</t>
  </si>
  <si>
    <t>/rewards/loyalty/&lt;id&gt;/memo.pdf</t>
  </si>
  <si>
    <t>ReportLab memo generator with memo_no sequencing; status transitions ELIGIBLE → AWARDED</t>
  </si>
  <si>
    <t>7.2 Step Increment</t>
  </si>
  <si>
    <t>Auto-track Step Increment eligibility every 3 years</t>
  </si>
  <si>
    <t>/step-increments/</t>
  </si>
  <si>
    <t>core.step_increment_history with /step-increments/scan (DUE/NOTICE_SENT/APPROVED/RECORDED)</t>
  </si>
  <si>
    <t>Based on Date of Original Appointment</t>
  </si>
  <si>
    <t>core.employees.date_of_original_appointment</t>
  </si>
  <si>
    <t>Column added in migration 53; backfilled from date_hired</t>
  </si>
  <si>
    <t>Generate Step Increment Due Report</t>
  </si>
  <si>
    <t>/step-increments/?status=DUE</t>
  </si>
  <si>
    <t>Filterable dashboard with due/overdue/coming-soon KPIs</t>
  </si>
  <si>
    <t>Generate Step Increment Notice / Memo</t>
  </si>
  <si>
    <t>/step-increments/&lt;id&gt;/notice</t>
  </si>
  <si>
    <t>Notice action transitions DUE → NOTICE_SENT with audit trail</t>
  </si>
  <si>
    <t>7.3 Retirement Monitoring</t>
  </si>
  <si>
    <t>Auto-identify approaching retirement with gender breakdown</t>
  </si>
  <si>
    <t>/retirement/</t>
  </si>
  <si>
    <t>core.retirement_tracking + /retirement/scan; KPIs include male/female pending</t>
  </si>
  <si>
    <t>Early Retirement Age 60 / Mandatory 65</t>
  </si>
  <si>
    <t>/admin/retirement-rules</t>
  </si>
  <si>
    <t>core.retirement_rules configurable per company (default 60/65)</t>
  </si>
  <si>
    <t>List of nearing retirement (6 months / 1 year before)</t>
  </si>
  <si>
    <t>notice_lead_months setting drives horizon; dashboard lists all UPCOMING rows</t>
  </si>
  <si>
    <t>Retirement Notice / Memo for HR, Employee, Accounting/Budget/Payroll</t>
  </si>
  <si>
    <t>/retirement/&lt;id&gt;/notice</t>
  </si>
  <si>
    <t>Single action generates 3 notice artifacts (HR, Employee, Finance paths)</t>
  </si>
  <si>
    <t>Male/Female breakdown for Age 60+ and 65+</t>
  </si>
  <si>
    <t>/reports/demographics, /retirement/</t>
  </si>
  <si>
    <t>Retirement dashboard KPIs include gender-split pending counts</t>
  </si>
  <si>
    <t>8. Payroll System</t>
  </si>
  <si>
    <t>Payroll automation — salaries, deductions by role/hours</t>
  </si>
  <si>
    <t>Payroll</t>
  </si>
  <si>
    <t>/payroll/runs</t>
  </si>
  <si>
    <t>DRAFT → COMPUTING → COMPUTED → APPROVED → POSTED</t>
  </si>
  <si>
    <t>Generate digital payslips</t>
  </si>
  <si>
    <t>/payroll/payslips/&lt;id&gt;/pdf, /me/payslips</t>
  </si>
  <si>
    <t>On-demand PDF via reporting_service</t>
  </si>
  <si>
    <t>Benefits administration portal (integrated with payroll)</t>
  </si>
  <si>
    <t>ESS + Payroll</t>
  </si>
  <si>
    <t>/me/benefits</t>
  </si>
  <si>
    <t>Enrollment + employer/employee cost tracking</t>
  </si>
  <si>
    <t>Encode GSIS, Pag-IBIG, Coop, Cash Advance loans</t>
  </si>
  <si>
    <t>/payroll/loans</t>
  </si>
  <si>
    <t>pay_loans with loan_type enum covering all LGU sources</t>
  </si>
  <si>
    <t>Loan details — amount, terms, start date, end date</t>
  </si>
  <si>
    <t>Standard fields on pay_loans</t>
  </si>
  <si>
    <t>Monthly payment &amp; outstanding balance (manual input)</t>
  </si>
  <si>
    <t>Amortization schedule + manual override</t>
  </si>
  <si>
    <t>View Employee Loan Profile per personnel</t>
  </si>
  <si>
    <t>ESS</t>
  </si>
  <si>
    <t>/me/compensation</t>
  </si>
  <si>
    <t>Active loans shown on compensation page</t>
  </si>
  <si>
    <t>Generate Loan Summary List</t>
  </si>
  <si>
    <t>/payroll/loans (export)</t>
  </si>
  <si>
    <t>CSV/Excel export available</t>
  </si>
  <si>
    <t>9. Security &amp; Data Governance</t>
  </si>
  <si>
    <t>Role-based permissions (HR, MIS, employees)</t>
  </si>
  <si>
    <t>3-tier: page / feature / modification</t>
  </si>
  <si>
    <t>Audit trails — who edited what, when; access logs</t>
  </si>
  <si>
    <t>audit_logs.change_log, audit_logs.access_log</t>
  </si>
  <si>
    <t>Trigger-based capture</t>
  </si>
  <si>
    <t>Data encryption in transit &amp; at rest + backups / DR</t>
  </si>
  <si>
    <t>docker-compose.yml + TLS proxy</t>
  </si>
  <si>
    <t>TLS at reverse proxy; host disk encryption; DR via pg_dump backups/</t>
  </si>
  <si>
    <t>Compliance modules — labor laws, tax, data privacy</t>
  </si>
  <si>
    <t>Privacy + Payroll</t>
  </si>
  <si>
    <t>/admin/privacy, /payroll</t>
  </si>
  <si>
    <t>RA 10173 field-level privacy; BIR/SSS/PhilHealth/HDMF schedules</t>
  </si>
  <si>
    <t>Archival &amp; retention — auto removal/archiving of old records</t>
  </si>
  <si>
    <t>DMS</t>
  </si>
  <si>
    <t>Policies exist; scheduled archival job to be built</t>
  </si>
  <si>
    <t>10. Employee Records Management</t>
  </si>
  <si>
    <t>Central searchable employee profile</t>
  </si>
  <si>
    <t>/employees, /employees/&lt;id&gt;</t>
  </si>
  <si>
    <t>201 file with sub-records; global search at /search</t>
  </si>
  <si>
    <t>Digital document storage with version control &amp; expiry</t>
  </si>
  <si>
    <t>/dms, /employees/&lt;id&gt;/documents</t>
  </si>
  <si>
    <t>document_categories + expiration + retention</t>
  </si>
  <si>
    <t>Role / position management; live org chart</t>
  </si>
  <si>
    <t>Core HR + Orgchart</t>
  </si>
  <si>
    <t>/orgchart, /admin/reference-data/positions</t>
  </si>
  <si>
    <t>Positions + departments + org chart</t>
  </si>
  <si>
    <t>Full lifecycle — recruitment → onboarding → active → transitions → offboarding</t>
  </si>
  <si>
    <t>Multiple</t>
  </si>
  <si>
    <t>/recruitment, /me/onboarding, /employees, /me/offboarding</t>
  </si>
  <si>
    <t>End-to-end coverage</t>
  </si>
  <si>
    <t>Paperless records with e-signatures, version control, audit</t>
  </si>
  <si>
    <t>/dms</t>
  </si>
  <si>
    <t>Paperless + audit exists; e-signature integration pending</t>
  </si>
  <si>
    <t>Employee Masterfile (Personal &amp; Employment)</t>
  </si>
  <si>
    <t>/employees/&lt;id&gt;</t>
  </si>
  <si>
    <t>v_employees_full view exposes everything</t>
  </si>
  <si>
    <t>Personal Data Sheet (PDS) storage — CSC template</t>
  </si>
  <si>
    <t>/me/pds, /pds/</t>
  </si>
  <si>
    <t>core.personal_data_sheets (JSONB, versioned); 10-tab form with auto-fill from masterfile; HR verification workflow</t>
  </si>
  <si>
    <t>Service Records &amp; Appointment History</t>
  </si>
  <si>
    <t>/employees/&lt;id&gt;/service-record</t>
  </si>
  <si>
    <t>Transitions tracked; formal CSC Service Record export pending</t>
  </si>
  <si>
    <t>10.1 HR Demographics (M/F breakdown)</t>
  </si>
  <si>
    <t>Gender Profile — total M/F overall + by dept/office</t>
  </si>
  <si>
    <t>/reports/demographics</t>
  </si>
  <si>
    <t>Demographics dashboard with department split</t>
  </si>
  <si>
    <t>Age Profile — distribution by gender</t>
  </si>
  <si>
    <t>Age-bucket histogram with gender</t>
  </si>
  <si>
    <t>Status of Appointment — Permanent/Casual/Contractual/JO/COS by sex</t>
  </si>
  <si>
    <t>Core HR + Analytics</t>
  </si>
  <si>
    <t>/admin/reference-data/employment_types</t>
  </si>
  <si>
    <t>Add JO and COS as employment types; extend report</t>
  </si>
  <si>
    <t>Rank Classification — Rank-and-File vs Officer/Supervisory M/F</t>
  </si>
  <si>
    <t>core.positions</t>
  </si>
  <si>
    <t>Add rank_classification column to core.positions; feed report</t>
  </si>
  <si>
    <t>Educational Attainment by gender (Graduate/College/HS/Elementary)</t>
  </si>
  <si>
    <t>core.employees.education_level</t>
  </si>
  <si>
    <t>Field exists; CSC-specific buckets and reporting to add</t>
  </si>
  <si>
    <t>Eligibility Profile — 1st Level / 2nd Level by gender</t>
  </si>
  <si>
    <t>/reports/eligibility</t>
  </si>
  <si>
    <t>rec_csc_eligibilities.level column + backfill; Level × Gender and Dept × Level cross-tabs</t>
  </si>
  <si>
    <t>Plantilla Summary — filled vs vacant by gender</t>
  </si>
  <si>
    <t>Workforce Planning</t>
  </si>
  <si>
    <t>/workforce-planning</t>
  </si>
  <si>
    <t>Current vs. planned shown; plantilla report needs gender split</t>
  </si>
  <si>
    <t>Salary Grade Distribution — count per grade with M/F</t>
  </si>
  <si>
    <t>Salary grade × gender matrix</t>
  </si>
  <si>
    <t>Training history per employee + summary with gender breakout</t>
  </si>
  <si>
    <t>L&amp;D + Analytics</t>
  </si>
  <si>
    <t>/reports/training, /learning/attendance</t>
  </si>
  <si>
    <t>Enrollment &amp; completion data</t>
  </si>
  <si>
    <t>11. Reporting, Analytics &amp; Dashboards</t>
  </si>
  <si>
    <t>Real-time dashboards (headcount, turnover, absence, leave trends)</t>
  </si>
  <si>
    <t>/ (main), /reports</t>
  </si>
  <si>
    <t>dashboard_metrics drives role-filtered KPI cards</t>
  </si>
  <si>
    <t>Pre-built &amp; custom reports; CSV/Excel export</t>
  </si>
  <si>
    <t>/reports</t>
  </si>
  <si>
    <t>Saved queries + parameters; export utilities</t>
  </si>
  <si>
    <t>Predictive analytics — retention risk, workforce forecast</t>
  </si>
  <si>
    <t>Analytics + AI</t>
  </si>
  <si>
    <t>/reports/attrition-risk, /workforce-planning, /ai</t>
  </si>
  <si>
    <t>Attrition scoring v2 heuristic writes to ai.ai_risk_scores; ARIA predict_attrition_risk tool; workforce scenarios</t>
  </si>
  <si>
    <t>12. Self-Service &amp; Mobile</t>
  </si>
  <si>
    <t>All functions accessible on mobile</t>
  </si>
  <si>
    <t>UI</t>
  </si>
  <si>
    <t>All /me/* pages</t>
  </si>
  <si>
    <t>Responsive web; native mobile app to enhance</t>
  </si>
  <si>
    <t>Employee self-service portal</t>
  </si>
  <si>
    <t>/me, /me/profile, /me/leaves, /me/payslips</t>
  </si>
  <si>
    <t>Full self-service suite</t>
  </si>
  <si>
    <t>Dept head self-service — approve leaves, dashboards, team reports</t>
  </si>
  <si>
    <t>MSS</t>
  </si>
  <si>
    <t>/team, /team/approvals, /me/inbox</t>
  </si>
  <si>
    <t>Manager service ready</t>
  </si>
  <si>
    <t>Online Request — COE, Service Record, SALN PDF, Appointment PDF</t>
  </si>
  <si>
    <t>DMS + Core</t>
  </si>
  <si>
    <t>/me/certificates, /me/saln, /rsp/appointments/&lt;id&gt;/pdf</t>
  </si>
  <si>
    <t>COE + Service Record + SALN (3-mode configurable) + Appointment PDF (CSC Form 33)</t>
  </si>
  <si>
    <t>13. Modern / Futuristic Add-Ons</t>
  </si>
  <si>
    <t>Chatbot / self-help assistant</t>
  </si>
  <si>
    <t>AI</t>
  </si>
  <si>
    <t>/ai/assistant, /ai (redirect)</t>
  </si>
  <si>
    <t>ARIA streaming chat UI with SSE + 12 built-in tools; /ai redirects to /ai/assistant</t>
  </si>
  <si>
    <t>AI-driven insights — skill gap, training, attrition risk</t>
  </si>
  <si>
    <t>/reports/attrition-risk, /ai</t>
  </si>
  <si>
    <t>Attrition heuristic + ARIA natural-language tool; skill gap in workforce planning</t>
  </si>
  <si>
    <t>Flexible work — hybrid/remote, geolocation clock-in, virtual check-in</t>
  </si>
  <si>
    <t>mobile app (to build)</t>
  </si>
  <si>
    <t>Work arrangement tracked; geolocation clock-in requires mobile</t>
  </si>
  <si>
    <t>Digital org chart — drag-drop, reporting lines, vacancies live</t>
  </si>
  <si>
    <t>Orgchart</t>
  </si>
  <si>
    <t>/orgchart</t>
  </si>
  <si>
    <t>Tree visualization + privacy; drag-drop editing pending</t>
  </si>
  <si>
    <t>13.1 Task Management</t>
  </si>
  <si>
    <t>User-initiated task creation + assignee autocomplete</t>
  </si>
  <si>
    <t>Tasks</t>
  </si>
  <si>
    <t>/tasks/new, /api/employees/search</t>
  </si>
  <si>
    <t>core.task_inbox extended with created_by + task_category; dept-scoped autocomplete picker</t>
  </si>
  <si>
    <t>Team view (MANAGER+) + admin view (HR_ADMIN+)</t>
  </si>
  <si>
    <t>/tasks/team, /admin/tasks</t>
  </si>
  <si>
    <t>task_service.list_tasks modes: inbox/team/admin with full URL-driven filter set</t>
  </si>
  <si>
    <t>Comments + @mentions</t>
  </si>
  <si>
    <t>/tasks/&lt;id&gt; comments thread</t>
  </si>
  <si>
    <t>core.task_comments with mentioned_user_ids[]; TASK_MENTIONED in-app notification on mention</t>
  </si>
  <si>
    <t>Task templates — Onboarding / Offboarding / KPI / IPCR / SALN</t>
  </si>
  <si>
    <t>/admin/task-templates</t>
  </si>
  <si>
    <t>core.task_templates with 5 seeded checklists; one-click spawn for N employees via global picker</t>
  </si>
  <si>
    <t>TASK_ASSIGNED / TASK_DUE_24H / TASK_OVERDUE reminders</t>
  </si>
  <si>
    <t>Reminders + Tasks</t>
  </si>
  <si>
    <t>services/reminder_engine.py</t>
  </si>
  <si>
    <t>5 ntf_templates + 2 TRIGGER_QUERIES seeded; 24h-before + overdue escalation live</t>
  </si>
  <si>
    <t>Dashboard KPIs (Open / Overdue / Completed YTD / Avg Days)</t>
  </si>
  <si>
    <t>Tasks + Analytics</t>
  </si>
  <si>
    <t>/ (home)</t>
  </si>
  <si>
    <t>4 dashboard_metrics seeded; TASKS Report Builder source auto-discovered by ARIA</t>
  </si>
  <si>
    <t>13.2 Global Employee Picker</t>
  </si>
  <si>
    <t>Reusable picker (Individual / Department / Group)</t>
  </si>
  <si>
    <t>Employee Picker</t>
  </si>
  <si>
    <t>static/js/employee-picker.js</t>
  </si>
  <si>
    <t>3-tab widget shared by Tasks, Payroll Loans, Wellness assignment; single + multi modes</t>
  </si>
  <si>
    <t>Custom employee groups + admin CRUD</t>
  </si>
  <si>
    <t>/admin/employee-groups</t>
  </si>
  <si>
    <t>core.employee_groups + members; seeds PROBATIONARY + DEPT_HEADS cohorts</t>
  </si>
  <si>
    <t>13.3 Health &amp; Wellness</t>
  </si>
  <si>
    <t>Wellness program catalog (mental health / fitness / vaccination / screening / seminar)</t>
  </si>
  <si>
    <t>Health</t>
  </si>
  <si>
    <t>/health/wellness</t>
  </si>
  <si>
    <t>health.wellness_programs + filter chips (PLANNED/ACTIVE/COMPLETED/CANCELLED); stat badges per card</t>
  </si>
  <si>
    <t>Bulk attendee assignment + attendance tracking</t>
  </si>
  <si>
    <t>/health/wellness/&lt;id&gt;</t>
  </si>
  <si>
    <t>enroll_many() uses global EmployeePicker; ENROLLED → COMPLETED or NO_SHOW with admin toggles</t>
  </si>
  <si>
    <t>Employee feedback + star rating on completed programs</t>
  </si>
  <si>
    <t>/health/wellness/&lt;id&gt;/feedback</t>
  </si>
  <si>
    <t>feedback_rating (1-5) + text feedback; avg rating + feedback_count surfaced on list view</t>
  </si>
  <si>
    <t>13.4 UX Consistency</t>
  </si>
  <si>
    <t>Dashboard Quick Actions bar (role-aware, pinned Report Builder + ARIA)</t>
  </si>
  <si>
    <t>Dashboard</t>
  </si>
  <si>
    <t>/</t>
  </si>
  <si>
    <t>Gradient CTA row for MANAGER → SUPER_ADMIN; always includes Report Builder + ARIA chat</t>
  </si>
  <si>
    <t>Payroll end-to-end processing banner</t>
  </si>
  <si>
    <t>/payroll/</t>
  </si>
  <si>
    <t>8-step numbered flow (Employees → Period → Run → Compute → Review → Approve → Post → Payslips)</t>
  </si>
  <si>
    <t>Retirement rules — multi-profile support</t>
  </si>
  <si>
    <t>core.retirement_rule_profiles with one Default + optional scoping (employment_type / department)</t>
  </si>
  <si>
    <t>14. Integration &amp; Ecosystem</t>
  </si>
  <si>
    <t>API / connectors — payroll, ERP/finance, SSO, time-clock</t>
  </si>
  <si>
    <t>payroll_web service, SSO JWT flow</t>
  </si>
  <si>
    <t>Payroll microservice + JWT SSO; formal REST API + ERP/biometric connectors to document</t>
  </si>
  <si>
    <t>Data import/export — migration, bulk updates</t>
  </si>
  <si>
    <t>Admin</t>
  </si>
  <si>
    <t>/admin/reference, /admin/demo-data</t>
  </si>
  <si>
    <t>CSV import tools + Demo Data profiles</t>
  </si>
  <si>
    <t>Gap Backlog — Items to Build for LGU Deployment</t>
  </si>
  <si>
    <t>ID</t>
  </si>
  <si>
    <t>Target Module</t>
  </si>
  <si>
    <t>Target Page / Route</t>
  </si>
  <si>
    <t>Effort Size</t>
  </si>
  <si>
    <t>Estimate</t>
  </si>
  <si>
    <t>Totals</t>
  </si>
  <si>
    <t>Small: 0 / Medium: 0 / Large: 0</t>
  </si>
  <si>
    <t>High: 0 / Med: 0</t>
  </si>
  <si>
    <t>Partial Refinements — Configuration &amp; Minor Build Tasks</t>
  </si>
  <si>
    <t>Refinement</t>
  </si>
  <si>
    <t>Action</t>
  </si>
  <si>
    <t>P01</t>
  </si>
  <si>
    <t>Seed CTO as leave type</t>
  </si>
  <si>
    <t>Leave</t>
  </si>
  <si>
    <t>Admin → Reference → lv_types → add CTO with OT accrual</t>
  </si>
  <si>
    <t>P02</t>
  </si>
  <si>
    <t>IPCR / OPCR templates</t>
  </si>
  <si>
    <t>PM</t>
  </si>
  <si>
    <t>Add templates to performance review cycles</t>
  </si>
  <si>
    <t>P03</t>
  </si>
  <si>
    <t>Job Portal posting integration</t>
  </si>
  <si>
    <t>RSP</t>
  </si>
  <si>
    <t>Add posting webhooks to 3rd-party job portals</t>
  </si>
  <si>
    <t>P04</t>
  </si>
  <si>
    <t>Successor slate UI</t>
  </si>
  <si>
    <t>New tab on /performance showing critical roles + slate</t>
  </si>
  <si>
    <t>P05</t>
  </si>
  <si>
    <t>CSC-specific employment types (JO, COS)</t>
  </si>
  <si>
    <t>Reference → employment_types → add JO, COS</t>
  </si>
  <si>
    <t>P06</t>
  </si>
  <si>
    <t>Rank classification on positions</t>
  </si>
  <si>
    <t>Add rank_classification column to core.positions</t>
  </si>
  <si>
    <t>P07</t>
  </si>
  <si>
    <t>Education bucket config per CSC</t>
  </si>
  <si>
    <t>Normalize education_level values; add report buckets</t>
  </si>
  <si>
    <t>P08</t>
  </si>
  <si>
    <t>Plantilla Summary by gender</t>
  </si>
  <si>
    <t>Extend existing scenario report with gender split</t>
  </si>
  <si>
    <t>P09</t>
  </si>
  <si>
    <t>Next-in-rank auto notification on vacancy</t>
  </si>
  <si>
    <t>RSP + Reminders</t>
  </si>
  <si>
    <t>Add rank-based rule to reminder engine</t>
  </si>
  <si>
    <t>P10</t>
  </si>
  <si>
    <t>Retention policy: 5 years for recruitment docs</t>
  </si>
  <si>
    <t>Set retention_policies for Recruitment category</t>
  </si>
  <si>
    <t>P11</t>
  </si>
  <si>
    <t>SMTP email delivery for reports/reminders</t>
  </si>
  <si>
    <t>Configure SMTP_HOST, SMTP_USER, SMTP_PASS in .env</t>
  </si>
  <si>
    <t>P12</t>
  </si>
  <si>
    <t>Disk encryption + TLS proxy</t>
  </si>
  <si>
    <t>Deploy behind nginx/Caddy with LE certs; LUKS on host</t>
  </si>
  <si>
    <t>P13</t>
  </si>
  <si>
    <t>Scheduled archival of off-boarded employees</t>
  </si>
  <si>
    <t>Cron job for retention_policies execution</t>
  </si>
  <si>
    <t>P14</t>
  </si>
  <si>
    <t>Drag-drop report builder UI</t>
  </si>
  <si>
    <t>Upgrade /reports with drag-drop canvas</t>
  </si>
  <si>
    <t>P16</t>
  </si>
  <si>
    <t>Drag-drop org chart editing</t>
  </si>
  <si>
    <t>Enable node-drop reassignment on /orgchart</t>
  </si>
  <si>
    <t>P17</t>
  </si>
  <si>
    <t>Next-of-kin/rank notification for vacancies</t>
  </si>
  <si>
    <t>Configure reminder rule</t>
  </si>
  <si>
    <t>P18</t>
  </si>
  <si>
    <t>Mobile responsive enhancements</t>
  </si>
  <si>
    <t>Audit each /me page for &lt;640px viewports</t>
  </si>
  <si>
    <t>P19</t>
  </si>
  <si>
    <t>COE and Service Record HTML-to-PDF templates</t>
  </si>
  <si>
    <t>Add CSC-aligned certificate templates</t>
  </si>
  <si>
    <t>P20</t>
  </si>
  <si>
    <t>Retirement rules seeding (60 early, 65 mandatory)</t>
  </si>
  <si>
    <t>New reference table + age check on demographics</t>
  </si>
  <si>
    <t>Coverage by HCM360 Module</t>
  </si>
  <si>
    <t>Module</t>
  </si>
  <si>
    <t>Total</t>
  </si>
  <si>
    <t>Coverage %</t>
  </si>
  <si>
    <t>Privacy</t>
  </si>
  <si>
    <t>ALL MODULES</t>
  </si>
  <si>
    <t>Recommended Phasing for LGU Deployment</t>
  </si>
  <si>
    <t>Phase</t>
  </si>
  <si>
    <t>Timeline</t>
  </si>
  <si>
    <t>Theme</t>
  </si>
  <si>
    <t>Deliverable</t>
  </si>
  <si>
    <t>Phase 1</t>
  </si>
  <si>
    <t>Weeks 1-4</t>
  </si>
  <si>
    <t>LGU Readiness Baseline</t>
  </si>
  <si>
    <t>Configure reference data (CTO, JO, COS, rank classification, retention policies)</t>
  </si>
  <si>
    <t>Wire SMTP for reminders and report delivery</t>
  </si>
  <si>
    <t>Deploy behind TLS reverse proxy with production SECRET_KEY rotation</t>
  </si>
  <si>
    <t>Seed LGU-specific departments, positions, plantilla</t>
  </si>
  <si>
    <t>Train HR administrators on access matrix and privacy rules</t>
  </si>
  <si>
    <t>Phase 2</t>
  </si>
  <si>
    <t>Weeks 5-10</t>
  </si>
  <si>
    <t>Critical CSC Forms</t>
  </si>
  <si>
    <t>CS Form No. 6 leave application (strict)</t>
  </si>
  <si>
    <t>CS Form No. 7 exit interview</t>
  </si>
  <si>
    <t>Personal Data Sheet (PDS) with auto-fill</t>
  </si>
  <si>
    <t>IPCR / OPCR templates for performance reviews</t>
  </si>
  <si>
    <t>Travel Order + Locator Slip modules</t>
  </si>
  <si>
    <t>Loyalty Award, Step Increment, Retirement notice workflows</t>
  </si>
  <si>
    <t>Phase 3</t>
  </si>
  <si>
    <t>Weeks 11-16</t>
  </si>
  <si>
    <t>Mobile &amp; Biometrics</t>
  </si>
  <si>
    <t>Native mobile app (Flutter / React Native) for employees</t>
  </si>
  <si>
    <t>Geolocation + photo check-in (flag raising/lowering, training)</t>
  </si>
  <si>
    <t>Face-recognition biometric attendance integration</t>
  </si>
  <si>
    <t>Electronic signature integration (DocuSign or local PKI)</t>
  </si>
  <si>
    <t>Phase 4</t>
  </si>
  <si>
    <t>Weeks 17-20</t>
  </si>
  <si>
    <t>Intelligence</t>
  </si>
  <si>
    <t>Attrition risk scoring model</t>
  </si>
  <si>
    <t>Chatbot conversational UI</t>
  </si>
  <si>
    <t>Drag-drop report builder</t>
  </si>
  <si>
    <t>Drag-drop org-chart editor with vacancy overlay</t>
  </si>
  <si>
    <t>Features Built vs Requested — Value-Add Scoring</t>
  </si>
  <si>
    <t>Inventory of every feature currently delivered, flagged against the Municipality of Mariveles HRMO requirements. "Bonus" rows were built beyond the original scope as added value.</t>
  </si>
  <si>
    <t>Scoring Summary</t>
  </si>
  <si>
    <t>Features Requested by LGU</t>
  </si>
  <si>
    <t>100%</t>
  </si>
  <si>
    <t>Requested — LIVE in current build</t>
  </si>
  <si>
    <t>100% of requested</t>
  </si>
  <si>
    <t>Bonus Features Beyond Request</t>
  </si>
  <si>
    <t>+77% extra</t>
  </si>
  <si>
    <t>Total Features Delivered</t>
  </si>
  <si>
    <t>1.77x multiplier</t>
  </si>
  <si>
    <t>Feature Catalog</t>
  </si>
  <si>
    <t>Feature</t>
  </si>
  <si>
    <t>In LGU Request?</t>
  </si>
  <si>
    <t>Category</t>
  </si>
  <si>
    <t>Employee master (201 file) — 40+ fields</t>
  </si>
  <si>
    <t>YES</t>
  </si>
  <si>
    <t>LIVE</t>
  </si>
  <si>
    <t>Requested</t>
  </si>
  <si>
    <t>Sub-records: addresses, contacts, IDs, banks, dependents</t>
  </si>
  <si>
    <t>Department hierarchy with head tracking</t>
  </si>
  <si>
    <t>Position hierarchy + job grades</t>
  </si>
  <si>
    <t>Employment type with probation + benefits flags</t>
  </si>
  <si>
    <t>Employee status lifecycle (ACTIVE→REGULAR→RESIGNED…)</t>
  </si>
  <si>
    <t>Transfer &amp; promotion historical records</t>
  </si>
  <si>
    <t>Bulk import / export (CSV)</t>
  </si>
  <si>
    <t>NO</t>
  </si>
  <si>
    <t>Bonus (Beyond Scope)</t>
  </si>
  <si>
    <t>Multi-tenant (per-company isolation)</t>
  </si>
  <si>
    <t>Retirement Tracking (age 60 early / 65 mandatory) — G13</t>
  </si>
  <si>
    <t>Step Increment tracking (3-year cadence) — G12</t>
  </si>
  <si>
    <t>Personal Data Sheet (CSC Form 212) — 10-tab form — G14</t>
  </si>
  <si>
    <t>LGU Contracts (JO/LSB/BHW/NS) with PDF — G07</t>
  </si>
  <si>
    <t>Travel Orders with pre-approval — G03</t>
  </si>
  <si>
    <t>Locator Slips with supervisor approval — G04</t>
  </si>
  <si>
    <t>Clearance CS Form 7 with 9 signatory items — G02</t>
  </si>
  <si>
    <t>Exit Interview form with 4-way ratings — G02</t>
  </si>
  <si>
    <t>Daily time records (DTR) with clock in/out</t>
  </si>
  <si>
    <t>Shift schedules (fixed / rotating / flexible)</t>
  </si>
  <si>
    <t>Shift assignments per employee</t>
  </si>
  <si>
    <t>Overtime / late / absent / undertime tracking</t>
  </si>
  <si>
    <t>Philippine holiday calendar pre-seeded</t>
  </si>
  <si>
    <t>Holiday premium pay multipliers</t>
  </si>
  <si>
    <t>Admin overrides with immutable audit trail</t>
  </si>
  <si>
    <t>Attendance alerts (excessive late/absent patterns)</t>
  </si>
  <si>
    <t>Biometric integration hooks</t>
  </si>
  <si>
    <t>Face recognition check-in (face-api.js) — G05</t>
  </si>
  <si>
    <t>Mobile geotag check-in + photo — G06</t>
  </si>
  <si>
    <t>Face enrollment with 3-sample averaging</t>
  </si>
  <si>
    <t>Geofence validation (haversine distance)</t>
  </si>
  <si>
    <t>Activity types (flag raising / lowering / regular)</t>
  </si>
  <si>
    <t>CS Form No. 6 strict leave compliance — G01</t>
  </si>
  <si>
    <t>Leave Mgmt</t>
  </si>
  <si>
    <t>10+ statutory leave types (RA 11210/8187/8972/9262/etc)</t>
  </si>
  <si>
    <t>Balance tracking with year-end rollover</t>
  </si>
  <si>
    <t>Leave workflow with approval chain</t>
  </si>
  <si>
    <t>Document attachments for leaves</t>
  </si>
  <si>
    <t>Per-employment-type leave policies</t>
  </si>
  <si>
    <t>Non-destructive balance adjustments with audit</t>
  </si>
  <si>
    <t>Pay periods + runs (DRAFT→COMPUTED→APPROVED→POSTED)</t>
  </si>
  <si>
    <t>Government deductions: SSS, PhilHealth, HDMF, BIR</t>
  </si>
  <si>
    <t>Allowances: PERA, RATA, ACA, hazard, representation</t>
  </si>
  <si>
    <t>Loans and amortization schedules</t>
  </si>
  <si>
    <t>Government remittance reports (R3, RF1, MCRF, 1601-C)</t>
  </si>
  <si>
    <t>2316 and Alphalist generation</t>
  </si>
  <si>
    <t>Payslip PDF generation + download</t>
  </si>
  <si>
    <t>Non-destructive post-posting adjustments</t>
  </si>
  <si>
    <t>Standalone microservice (port 8095)</t>
  </si>
  <si>
    <t>8-step end-to-end processing banner on /payroll/</t>
  </si>
  <si>
    <t>Loan creation with global employee picker (single-select)</t>
  </si>
  <si>
    <t>Requisition workflow with approvals</t>
  </si>
  <si>
    <t>Candidate pipeline with source tracking</t>
  </si>
  <si>
    <t>Interview scheduling + panelist coordination</t>
  </si>
  <si>
    <t>CSC eligibilities (with 1st/2nd level column) — G15</t>
  </si>
  <si>
    <t>Qualification standards per position</t>
  </si>
  <si>
    <t>Appointment (CSC Form 33) PDF — G17</t>
  </si>
  <si>
    <t>Plantilla filled vs vacant tracking</t>
  </si>
  <si>
    <t>Performance</t>
  </si>
  <si>
    <t>Multi-cycle reviews (annual / mid-year / probationary)</t>
  </si>
  <si>
    <t>KPI / competency rating matrices</t>
  </si>
  <si>
    <t>Self-review + manager review + 360 feedback</t>
  </si>
  <si>
    <t>Calibration sessions</t>
  </si>
  <si>
    <t>Learning</t>
  </si>
  <si>
    <t>Training catalog with categories</t>
  </si>
  <si>
    <t>Enrollment workflows + attendance tracking</t>
  </si>
  <si>
    <t>Certificate issuance with expiration tracking</t>
  </si>
  <si>
    <t>Mobile training attendance with AM/PM shift — G09</t>
  </si>
  <si>
    <t>Narrative Report Form (NRF) workflow — G10</t>
  </si>
  <si>
    <t>Compliance training calendar</t>
  </si>
  <si>
    <t>Rewards</t>
  </si>
  <si>
    <t>Award categories (Employee of Month, Merit, etc.)</t>
  </si>
  <si>
    <t>Peer praise wall</t>
  </si>
  <si>
    <t>Loyalty Service Awards (10/15/20/25/30 yr) — G11</t>
  </si>
  <si>
    <t>Auto-memo generator for loyalty (PDF) — G11</t>
  </si>
  <si>
    <t>201 file with hierarchical document categories</t>
  </si>
  <si>
    <t>Document upload with retention policy + expiry alerts</t>
  </si>
  <si>
    <t>Certificate request queue for HR</t>
  </si>
  <si>
    <t>Auto certificate generation (COE, Service Record)</t>
  </si>
  <si>
    <t>SALN 3-mode filings (UPLOAD_ONLY/SIMPLE/FULL CSC 210) — G16</t>
  </si>
  <si>
    <t>E-signature: canvas pad + DocuSign adapter — G08</t>
  </si>
  <si>
    <t>Discipline</t>
  </si>
  <si>
    <t>Case types by gravity with default penalties</t>
  </si>
  <si>
    <t>Legal basis tracking (DOLE / CSC / company policy)</t>
  </si>
  <si>
    <t>Investigation workflow + witness/evidence capture</t>
  </si>
  <si>
    <t>Administrative hearing scheduling</t>
  </si>
  <si>
    <t>Sanction imposition with appeal tracking</t>
  </si>
  <si>
    <t>Incident reports with categorization + severity</t>
  </si>
  <si>
    <t>Workplace safety records</t>
  </si>
  <si>
    <t>Follow-up action tracking</t>
  </si>
  <si>
    <t>Physical Exam (PE) schedules + results + compliance KPIs</t>
  </si>
  <si>
    <t>Health certificates with expiry monitoring</t>
  </si>
  <si>
    <t>Wellness programs (6 types) with enrollment + feedback</t>
  </si>
  <si>
    <t>Wellness bulk attendee assignment + NO_SHOW tracking</t>
  </si>
  <si>
    <t>Wellness star ratings + avg rating + feedback count</t>
  </si>
  <si>
    <t>Task inbox (system + user-initiated tasks)</t>
  </si>
  <si>
    <t>User-initiated task creation with assignee autocomplete</t>
  </si>
  <si>
    <t>Team view (MANAGER+) + Admin view (HR_ADMIN+)</t>
  </si>
  <si>
    <t>Filter / sort / keyword search on inbox + tasks lists</t>
  </si>
  <si>
    <t>Comments thread with @mentions</t>
  </si>
  <si>
    <t>Task templates (5 seeded) + one-click multi-employee spawn</t>
  </si>
  <si>
    <t>TASK_ASSIGNED / TASK_DUE_24H / TASK_OVERDUE notifications</t>
  </si>
  <si>
    <t>Dashboard KPIs: Open · Overdue · Completed YTD · Avg Days</t>
  </si>
  <si>
    <t>TASKS Report Builder source (auto-discovered by ARIA)</t>
  </si>
  <si>
    <t>Dept-scoped access + page/feature registry grants</t>
  </si>
  <si>
    <t>Reusable JS widget (Individual / Department / Group tabs)</t>
  </si>
  <si>
    <t>Single-select + multi-select modes</t>
  </si>
  <si>
    <t>Custom employee groups + admin CRUD UI</t>
  </si>
  <si>
    <t>Integrated into Tasks, Payroll Loans, Wellness</t>
  </si>
  <si>
    <t>Org Chart</t>
  </si>
  <si>
    <t>Interactive person-centric tree (ancestors → self → team)</t>
  </si>
  <si>
    <t>Privacy-aware nodes with RA 10173 field masking</t>
  </si>
  <si>
    <t>Department-scoped view for non-admin roles</t>
  </si>
  <si>
    <t>Department-scoped KPIs for non-admin viewers</t>
  </si>
  <si>
    <t>Privacy notice banner</t>
  </si>
  <si>
    <t>Scenario modeling (headcount / cost / skills)</t>
  </si>
  <si>
    <t>Assumption-driven projections (attrition %, growth %)</t>
  </si>
  <si>
    <t>Auto-generated quarterly headcount plans</t>
  </si>
  <si>
    <t>Skill demand vs supply gap analysis</t>
  </si>
  <si>
    <t>Admin dashboard with real-time KPI cards</t>
  </si>
  <si>
    <t>HR demographics reports (gender, tenure, age)</t>
  </si>
  <si>
    <t>CSC Eligibility 1st/2nd Level × Gender report — G15</t>
  </si>
  <si>
    <t>Attendance and leave heatmaps</t>
  </si>
  <si>
    <t>Drag-drop Report Builder with 30 data sources</t>
  </si>
  <si>
    <t>Report Builder with 260 field registry entries</t>
  </si>
  <si>
    <t>Scheduled reports (DAILY/WEEKLY/MONTHLY) with recipients</t>
  </si>
  <si>
    <t>Export as CSV / XLSX / PDF</t>
  </si>
  <si>
    <t>KPI SQL registry (configurable via core.dashboard_metrics)</t>
  </si>
  <si>
    <t>Attrition Risk scoring model with heuristic — G18</t>
  </si>
  <si>
    <t>Attrition dashboard with factor chips + gender split</t>
  </si>
  <si>
    <t>AI (ARIA)</t>
  </si>
  <si>
    <t>AI-powered HR assistant (Anthropic Claude)</t>
  </si>
  <si>
    <t>Natural-language Q&amp;A on employee data</t>
  </si>
  <si>
    <t>12 built-in HRIS tools (workforce, workflow, KPIs, etc)</t>
  </si>
  <si>
    <t>Cross-module query_data_source tool (30 sources)</t>
  </si>
  <si>
    <t>hr_leader_dashboard tool (14 headline numbers)</t>
  </si>
  <si>
    <t>explain_kpi tool with live values</t>
  </si>
  <si>
    <t>predict_attrition_risk tool</t>
  </si>
  <si>
    <t>Role-aware system prompt (HR LEADER MODE)</t>
  </si>
  <si>
    <t>Server-Sent Events (SSE) streaming responses</t>
  </si>
  <si>
    <t>Audit log of AI queries</t>
  </si>
  <si>
    <t>Interactive chat UI at /ai/assistant (streaming SSE)</t>
  </si>
  <si>
    <t>/ai redirects to /ai/assistant for a single entry point</t>
  </si>
  <si>
    <t>ESS/MSS</t>
  </si>
  <si>
    <t>My Portal dashboard with KPI cards</t>
  </si>
  <si>
    <t>My Profile with section cards + "+ Add" links</t>
  </si>
  <si>
    <t>File leaves, view balances, request certificates</t>
  </si>
  <si>
    <t>View own DTR, payslips, compensation breakdown, loans</t>
  </si>
  <si>
    <t>Benefits enrollment view</t>
  </si>
  <si>
    <t>Manager service: team DTR, approvals, 1:1 history</t>
  </si>
  <si>
    <t>Beautified profile page with icons + badges</t>
  </si>
  <si>
    <t>Role-aware Quick Actions bar (MANAGER → SUPER_ADMIN)</t>
  </si>
  <si>
    <t>Always-pinned Report Builder + ARIA CTA on dashboard</t>
  </si>
  <si>
    <t>Travel-order new form + admin locator-on-behalf picker</t>
  </si>
  <si>
    <t>Access Matrix (page × feature × modification tiers)</t>
  </si>
  <si>
    <t>Role management with custom role creation</t>
  </si>
  <si>
    <t>User management with inline-edit + role dropdown</t>
  </si>
  <si>
    <t>Reference data CRUD (29+ tables)</t>
  </si>
  <si>
    <t>Field Privacy Rules (RA 10173 — VISIBLE/MASKED/HIDDEN)</t>
  </si>
  <si>
    <t>UI Theme activation (per-company branding)</t>
  </si>
  <si>
    <t>Demo data profile activation</t>
  </si>
  <si>
    <t>Reminder rule configuration</t>
  </si>
  <si>
    <t>Service monitoring / health dashboard</t>
  </si>
  <si>
    <t>Retirement rule profiles (multi-profile + default flag)</t>
  </si>
  <si>
    <t>Employee groups CRUD + PROBATIONARY / DEPT_HEADS seeds</t>
  </si>
  <si>
    <t>Task templates library (HR_ADMIN+ spawner)</t>
  </si>
  <si>
    <t>Security</t>
  </si>
  <si>
    <t>Session-based authentication with user selector</t>
  </si>
  <si>
    <t>Role-based RBAC (page + feature + modification)</t>
  </si>
  <si>
    <t>RA 10173 (Data Privacy Act) field masking</t>
  </si>
  <si>
    <t>Audit log with trigger-based change capture</t>
  </si>
  <si>
    <t>Self-record privacy relaxation (MASKED→VISIBLE for own)</t>
  </si>
  <si>
    <t>SSO JWT token support (optional)</t>
  </si>
  <si>
    <t>User access matrix with overrides</t>
  </si>
  <si>
    <t>UX</t>
  </si>
  <si>
    <t>Guided Tours (8 seeded tours, role-filtered)</t>
  </si>
  <si>
    <t>data-hint tooltip system (hover + tap)</t>
  </si>
  <si>
    <t>Floating "?" help launcher</t>
  </si>
  <si>
    <t>Per-user tour completion tracking</t>
  </si>
  <si>
    <t>Tour versioning for re-notification</t>
  </si>
  <si>
    <t>Admin UI at /admin/tours to manage tours</t>
  </si>
  <si>
    <t>Docker Compose 3-service stack</t>
  </si>
  <si>
    <t>Named Docker volumes (survives rebuilds)</t>
  </si>
  <si>
    <t>PostgreSQL 15 with schema-per-module</t>
  </si>
  <si>
    <t>Versioned SQL migrations (58 files)</t>
  </si>
  <si>
    <t>Full pg_dump backup + restore script</t>
  </si>
  <si>
    <t>Docker image tagging (v1.0 frozen build)</t>
  </si>
  <si>
    <t>Comprehensive tech + user documentation</t>
  </si>
  <si>
    <t>Gap Analysis — Create Job Requisition Feature</t>
  </si>
  <si>
    <t>Focused deep-dive on the "Create Job Requisition" capability. Covers 8 categories: Data Model, Create Flow, Approval Workflow, Publication, Notifications, Access Control, Reporting, and Integration &amp; Compliance. Each row shows whats in place today, whats missing, and the priority/effort estimate.</t>
  </si>
  <si>
    <t>Total Aspects Analyzed</t>
  </si>
  <si>
    <t>100% of feature surface</t>
  </si>
  <si>
    <t>Already COVERED</t>
  </si>
  <si>
    <t>PARTIAL (needs refinement)</t>
  </si>
  <si>
    <t>0%</t>
  </si>
  <si>
    <t>GAP (must build)</t>
  </si>
  <si>
    <t>High-priority open items</t>
  </si>
  <si>
    <t>build first</t>
  </si>
  <si>
    <t>Medium-priority open items</t>
  </si>
  <si>
    <t>build next</t>
  </si>
  <si>
    <t>Low-priority open items</t>
  </si>
  <si>
    <t>nice-to-have</t>
  </si>
  <si>
    <t>Feature Readiness</t>
  </si>
  <si>
    <t>Current feature readiness: 100% (COVERED counted as 1.0, PARTIAL as 0.5). To reach 100%, build the 0 GAP items below, starting with the 0 High-priority ones.</t>
  </si>
  <si>
    <t>Detailed Gap Analysis</t>
  </si>
  <si>
    <t>Aspect</t>
  </si>
  <si>
    <t>Current State</t>
  </si>
  <si>
    <t>Gap / Action Needed</t>
  </si>
  <si>
    <t>Effort</t>
  </si>
  <si>
    <t>1. Data Model</t>
  </si>
  <si>
    <t>Core requisition table exists</t>
  </si>
  <si>
    <t>recruitment.rec_requisitions with id, company_id, reference_no, department_id, position_id, headcount, justification, status, workflow_instance_id, requested_by, approved_by, target_hire_date, created_at</t>
  </si>
  <si>
    <t>None — fully in place</t>
  </si>
  <si>
    <t>Small</t>
  </si>
  <si>
    <t>Audit trail on requisition changes</t>
  </si>
  <si>
    <t>Trigger audit_logs.fn_capture_change fires on INSERT/UPDATE/DELETE + rec_requisition_history table records every transition</t>
  </si>
  <si>
    <t>Plantilla item linkage (LGU-specific)</t>
  </si>
  <si>
    <t>Migration 60: plantilla_item_id FK to rec_plantilla_items added</t>
  </si>
  <si>
    <t>None — plantilla dropdown in New Requisition form lets user pick any VACANT item</t>
  </si>
  <si>
    <t>Salary range on requisition</t>
  </si>
  <si>
    <t>Migration 60: salary_min_override + salary_max_override columns; PDF falls back to job_grade defaults when not set</t>
  </si>
  <si>
    <t>None — surfaced on both form and CSC Form PDF</t>
  </si>
  <si>
    <t>Budget / cost center link</t>
  </si>
  <si>
    <t>Migration 60: budget_source (TEXT) + funds_available (NUMERIC) columns; captured on form, rendered on CSC Form PDF</t>
  </si>
  <si>
    <t>None — Finance review fields live</t>
  </si>
  <si>
    <t>Supporting documents</t>
  </si>
  <si>
    <t>Migration 60: rec_requisition_attachments table + multipart upload endpoint POST /rsp/requisitions/&lt;id&gt;/attachments; type dropdown covers JUSTIFICATION / BUDGET_APPROVAL / ORG_CHART / ENDORSEMENT / OTHER</t>
  </si>
  <si>
    <t>None — attachments appear on detail page with size + uploader</t>
  </si>
  <si>
    <t>Requisition urgency / priority</t>
  </si>
  <si>
    <t>Migration 60: priority column (URGENT / HIGH / NORMAL / LOW) with CHECK constraint; colored chip on list + detail; URGENT auto-flags postings is_internal=TRUE</t>
  </si>
  <si>
    <t>None — priority drives inbox task priority + publish behaviour</t>
  </si>
  <si>
    <t>CSC-specific fields (for government hiring)</t>
  </si>
  <si>
    <t>Migration 60: qualification_standard_id FK + required_eligibility_id FK; both dropdowns on the form; rendered under Section C of the CSC PDF</t>
  </si>
  <si>
    <t>None — civil service qualification metadata captured</t>
  </si>
  <si>
    <t>2. Create Flow</t>
  </si>
  <si>
    <t>Route: GET/POST /recruitment/requisitions/new</t>
  </si>
  <si>
    <t>Blueprint mounted at /rsp/requisitions with alias redirect from /recruitment/requisitions; GET renders form, POST calls create_requisition()</t>
  </si>
  <si>
    <t>None — form page live</t>
  </si>
  <si>
    <t>Service function: create_requisition()</t>
  </si>
  <si>
    <t>services/requisition_service.py:create_requisition(company_id, form, user_id, submit=False) returns (req_id, reference_no)</t>
  </si>
  <si>
    <t>None — service layer complete</t>
  </si>
  <si>
    <t>Auto-generate reference_no (REQ-YYYY-NNNNNN)</t>
  </si>
  <si>
    <t>_next_reference_no() generates REQ-YYYY-NNNNNN (zero-padded sequence per year) via MAX(split_part(...)) lookup</t>
  </si>
  <si>
    <t>None — verified REQ-2026-000005 generated on test submission</t>
  </si>
  <si>
    <t>Draft-save capability</t>
  </si>
  <si>
    <t>Form has two submit buttons: "Save as Draft" (action=draft) and "Save &amp; Submit for Approval" (action=submit); drafts persist with status=DRAFT</t>
  </si>
  <si>
    <t>None — draft mode works end-to-end</t>
  </si>
  <si>
    <t>Duplicate-detection guard</t>
  </si>
  <si>
    <t>find_duplicates(position_id) + AJAX endpoint /rsp/requisitions/check-duplicates; banner on new.html fires on position change</t>
  </si>
  <si>
    <t>None — detects any PENDING_APPROVAL/DRAFT requisition for same position</t>
  </si>
  <si>
    <t>Clone-from-previous convenience</t>
  </si>
  <si>
    <t>POST /rsp/requisitions/&lt;id&gt;/clone duplicates the source row into a fresh DRAFT with new reference_no and cloned-from note in justification</t>
  </si>
  <si>
    <t>None — clone action on detail page + ?clone=&lt;id&gt; prefill</t>
  </si>
  <si>
    <t>Detail view (/requisitions/&lt;id&gt;)</t>
  </si>
  <si>
    <t>view.html shows: form snapshot, approval chain timeline, linked job postings, attachments + upload, history, WFP warning banner, action buttons gated by role/state</t>
  </si>
  <si>
    <t>None — detail page fully featured</t>
  </si>
  <si>
    <t>3. Approval Workflow</t>
  </si>
  <si>
    <t>Workflow engine available</t>
  </si>
  <si>
    <t>workflow_definitions, workflow_instances, workflow_steps tables exist + are used by leave/travel/requisitions</t>
  </si>
  <si>
    <t>None — engine is reusable</t>
  </si>
  <si>
    <t>REQUISITION_APPROVAL workflow seeded</t>
  </si>
  <si>
    <t>Migration 60 seeds 3-step chain: REQ_DEPT_HEAD (MANAGER, 48h) → REQ_HR_REVIEW (HR_ADMIN, 48h) → REQ_EXEC_APPROVE (EXECUTIVE, 24h, is_final=TRUE) + APPROVE/REJECT routes per step</t>
  </si>
  <si>
    <t>None — verified workflow_definition #17 exists</t>
  </si>
  <si>
    <t>Status transition endpoints</t>
  </si>
  <si>
    <t>POST /rsp/requisitions/&lt;id&gt;/submit, /approve, /reject, /cancel — all mounted, guarded by _can_create/_can_approve role checks</t>
  </si>
  <si>
    <t>None — 4 transition routes live</t>
  </si>
  <si>
    <t>Inbox integration</t>
  </si>
  <si>
    <t>_submit_workflow() calls task_inbox_service.create_task() for every MANAGER in the requesting department; task has action_url pointing to requisition detail page</t>
  </si>
  <si>
    <t>None — inbox tasks fire on submit</t>
  </si>
  <si>
    <t>Role-level approver routing</t>
  </si>
  <si>
    <t>workflow_steps.role_required carries MANAGER / HR_ADMIN / EXECUTIVE; view.html only shows Approve/Reject buttons when session.role_code matches current step role (or SUPER_ADMIN override)</t>
  </si>
  <si>
    <t>None — role-gated approver routing verified</t>
  </si>
  <si>
    <t>Rejection with reason capture</t>
  </si>
  <si>
    <t>rejection_reason TEXT column; reject route requires non-empty reason (minlength=5); surfaced in red banner on detail page + notification payload</t>
  </si>
  <si>
    <t>None — reason required and persisted</t>
  </si>
  <si>
    <t>Partial approval (headcount split)</t>
  </si>
  <si>
    <t>approved_headcount INTEGER column; approve form allows reducing headcount (max=requested); audit row written with metadata={"approved_headcount": N}</t>
  </si>
  <si>
    <t>None — verified via final-approval test with approved_headcount=1</t>
  </si>
  <si>
    <t>4. Publication</t>
  </si>
  <si>
    <t>Auto-create rec_job_postings on APPROVED</t>
  </si>
  <si>
    <t>_on_approved() hook fires on final workflow step; auto-inserts rec_job_postings with title from position, salary_range from overrides or job_grade, status=OPEN, then flips requisition to PUBLISHED</t>
  </si>
  <si>
    <t>None — verified posting #371 auto-created after 3-step approval</t>
  </si>
  <si>
    <t>CSC publication channels</t>
  </si>
  <si>
    <t>rec_publications + rec_job_postings integration intact; auto-publish uses the existing channel dispatcher</t>
  </si>
  <si>
    <t>None — channels remain multi-target via rec_publications</t>
  </si>
  <si>
    <t>Next-in-rank auto-notify</t>
  </si>
  <si>
    <t>URGENT priority sets is_internal=TRUE on the posting, feeding compute_next_in_rank() + notify_next_in_rank() for internal-first hires</t>
  </si>
  <si>
    <t>None — URGENT → is_internal=TRUE auto-path verified</t>
  </si>
  <si>
    <t>Linked applicant pipeline</t>
  </si>
  <si>
    <t>rec_applicants with stage tracking continues to feed from posting_id; detail page lists all linked postings</t>
  </si>
  <si>
    <t>None — pipeline intact + visible on requisition detail</t>
  </si>
  <si>
    <t>5. Notifications</t>
  </si>
  <si>
    <t>In-app inbox notifications</t>
  </si>
  <si>
    <t>_submit_workflow() creates inbox tasks for MANAGER approvers; reject/approve hooks push notifications to requester via notification_service.notify()</t>
  </si>
  <si>
    <t>None — bell + inbox integration live</t>
  </si>
  <si>
    <t>Email notifications</t>
  </si>
  <si>
    <t>Migration 60 seeds req_submitted_inapp, req_approved_inapp, req_rejected_inapp templates with {{reference_no}}, {{position_title}}, {{headcount}}, {{approved_headcount}}, {{rejection_reason}} placeholders</t>
  </si>
  <si>
    <t>None — templates discovered by notify() on each transition</t>
  </si>
  <si>
    <t>Reminder for idle pending approvals</t>
  </si>
  <si>
    <t>REQ_PENDING_24H added to services/reminder_engine.py:TRIGGER_QUERIES + seeded as active row in notifications.reminder_rules; escalates to step-1 approver as HIGH priority for URGENT/HIGH requisitions</t>
  </si>
  <si>
    <t>None — fires on refresh_inbox() via /me page load</t>
  </si>
  <si>
    <t>6. Access Control</t>
  </si>
  <si>
    <t>Page registry for /requisitions</t>
  </si>
  <si>
    <t>Migration 60 registers /rsp/requisitions, /rsp/requisitions/new, /rsp/requisitions/&lt;id&gt; under module=rsp; all 3 visible in Access Matrix → RSP / Recruitment</t>
  </si>
  <si>
    <t>None — verified rendering in /admin/access-matrix?module=rsp</t>
  </si>
  <si>
    <t>Feature registry for requisition actions</t>
  </si>
  <si>
    <t>Migration 60 seeds REQ_CREATE, REQ_APPROVE, REQ_REJECT, REQ_CANCEL, REQ_PUBLISH features with action_type CREATE/APPROVE/EDIT; role grants applied to SUPER_ADMIN, HR_ADMIN, MANAGER, EXECUTIVE</t>
  </si>
  <si>
    <t>None — 5 features visible in Access Matrix for toggling per role or user</t>
  </si>
  <si>
    <t>Department-scoped visibility</t>
  </si>
  <si>
    <t>_apply_role_filter() in requisition_service restricts non-admin roles to r.requested_by = user OR r.department_id = user-department</t>
  </si>
  <si>
    <t>None — scoping enforced on list + detail views</t>
  </si>
  <si>
    <t>7. Reporting</t>
  </si>
  <si>
    <t>Report Builder data source for requisitions</t>
  </si>
  <si>
    <t>Migration 60 registers REQUISITIONS data source (analytics.report_data_sources) with 19 fields: reference_no, status, priority, position_title, department, salary_grade, headcount, approved_headcount, dates, budget_source, funds_available, requester_name, plantilla_item_no, qualification_standard, required_eligibility, days_pending computed</t>
  </si>
  <si>
    <t>None — verified "Job Requisitions" appears in /reports/builder</t>
  </si>
  <si>
    <t>Vacancy dashboard KPI</t>
  </si>
  <si>
    <t>Migration 60 seeds 4 dashboard_metrics: req_pending_count, req_approved_ytd, req_avg_days_approve, req_open_vacancies — all visible on the homepage for HR roles</t>
  </si>
  <si>
    <t>None — live KPI cards verified</t>
  </si>
  <si>
    <t>Time-to-fill metric</t>
  </si>
  <si>
    <t>get_summary_stats() computes avg_days_approve = AVG(approved_at - submitted_at); also exposed as days_pending field in REQUISITIONS data source</t>
  </si>
  <si>
    <t>None — time-to-approve computed; time-to-fill derivable via Report Builder join against rec_appointments</t>
  </si>
  <si>
    <t>8. Integration</t>
  </si>
  <si>
    <t>ARIA AI awareness</t>
  </si>
  <si>
    <t>ARIA auto-discovers analytics.report_data_sources via aria_extensions.query_data_source — REQUISITIONS source is immediately queryable without code changes</t>
  </si>
  <si>
    <t>None — "how many pending requisitions?" works out of the box</t>
  </si>
  <si>
    <t>Guided tour for creating a requisition</t>
  </si>
  <si>
    <t>Migration 60 seeds requisition-create-v1 tour (6 steps): intro → department → position → headcount → justification → after-submit explainer; auto-started via url_pattern /rsp/requisitions matching</t>
  </si>
  <si>
    <t>None — tour plays for HR_ADMIN, MANAGER, SUPER_ADMIN on first visit</t>
  </si>
  <si>
    <t>Tooltips on requisition form fields</t>
  </si>
  <si>
    <t>Every input/select in new.html carries data-hint attributes covering Department, Position, Plantilla Item, Headcount, Budget Source, Funds Available, Priority, Salary overrides, Target Hire Date, Qualification Standard, Eligibility, Justification</t>
  </si>
  <si>
    <t>None — tooltip engine hris-tour.js picks up data-hint automatically</t>
  </si>
  <si>
    <t>CSC compliance: Form CS 001 / 004</t>
  </si>
  <si>
    <t>render_csc_form_pdf() generates "Personnel Requisition Form" PDF via ReportLab (reuses _doc/_header/_kv_table/_sig_block helpers) — 5 sections: Position, Budget, Qualifications, Justification, Approval + signature block</t>
  </si>
  <si>
    <t>None — GET /rsp/requisitions/&lt;id&gt;/csc-form.pdf returns application/pdf (verified 2.8KB PDF-1.4 output)</t>
  </si>
  <si>
    <t>Integration with Workforce Planning scenarios</t>
  </si>
  <si>
    <t>wfp_warning() compares current + requested headcount against active WFP scenario planned_hc; amber banner on detail page when exceeded, naming the scenario and over_by delta</t>
  </si>
  <si>
    <t>None — WFP banner shows on detail page when over-plan</t>
  </si>
  <si>
    <t>Gap Analysis — Task Management Feature</t>
  </si>
  <si>
    <t>Focused deep-dive on the Task Management capability. Today the platform has a PASSIVE inbox (system-generated tasks from workflow approvals and the reminder engine); it lacks user-initiated creation, assignment to others, collaboration, recurrence, and reporting. This sheet audits 9 categories: Data Model, Create Flow, Views, Collaboration, Recurrence, Notifications, Access Control, Reporting, and Integrations.</t>
  </si>
  <si>
    <t>46%</t>
  </si>
  <si>
    <t>5%</t>
  </si>
  <si>
    <t>48%</t>
  </si>
  <si>
    <t>Current feature readiness: 49% (COVERED counted as 1.0, PARTIAL as 0.5). Infrastructure (table, inbox page, workflow integration) is in place, but user-initiated creation, assignment, collaboration, recurrence, and reporting are not yet built. To reach 100%, build the 27 GAP items below, starting with the 0 High-priority ones.</t>
  </si>
  <si>
    <t>Core task table</t>
  </si>
  <si>
    <t>core.task_inbox with id, employee_id, user_id, task_type, title, description, action_url, priority, due_date, status, is_read, source_table, source_id, created_at, completed_at</t>
  </si>
  <si>
    <t>None — table exists and is used by workflow/reminder engines</t>
  </si>
  <si>
    <t>employee_id column already captures the assignee</t>
  </si>
  <si>
    <t>None — populated by create_task() helper</t>
  </si>
  <si>
    <t>Assigner (who CREATED the task)</t>
  </si>
  <si>
    <t>Migration 61: core.task_inbox.created_by BIGINT FK → core.users(id) added and backfilled; task_service.create_task() always sets it to the current user</t>
  </si>
  <si>
    <t>None — assigner is now audited on every task</t>
  </si>
  <si>
    <t>Task categories / tags</t>
  </si>
  <si>
    <t>task_type is a free-text string (REQUISITION_APPROVAL, LEAVE_APPROVAL, etc.) — not end-user selectable</t>
  </si>
  <si>
    <t>Add task_category enum (WORK, FOLLOWUP, MEETING, DOC_REVIEW, PERSONAL, SYSTEM) + tags VARCHAR(255) for free-tag; used for list filters and reporting</t>
  </si>
  <si>
    <t>Subtasks / checklist items</t>
  </si>
  <si>
    <t>None — task_inbox is flat</t>
  </si>
  <si>
    <t>New table core.task_subitems (id, task_id FK, title, is_completed, sort_order, completed_at) with cascade delete</t>
  </si>
  <si>
    <t>Comments / discussion</t>
  </si>
  <si>
    <t>None — no comment table</t>
  </si>
  <si>
    <t>New table core.task_comments (id, task_id FK, user_id FK, body TEXT, created_at, edited_at) for collaboration thread</t>
  </si>
  <si>
    <t>Attachments</t>
  </si>
  <si>
    <t>None — no attachment linkage</t>
  </si>
  <si>
    <t>New table core.task_attachments (id, task_id FK, file_name, file_path, mime_type, size_kb, uploaded_by, uploaded_at); reuse /uploads/tasks/&lt;id&gt;/ convention</t>
  </si>
  <si>
    <t>Audit trail / history</t>
  </si>
  <si>
    <t>Status transitions timestamped via completed_at; no full audit log</t>
  </si>
  <si>
    <t>New table core.task_history (id, task_id, action, old_value, new_value, user_id, created_at); trigger on UPDATE to log status/priority/due_date/assignee changes</t>
  </si>
  <si>
    <t>Recurring tasks metadata</t>
  </si>
  <si>
    <t>None — every task is one-shot</t>
  </si>
  <si>
    <t>Add recurrence_rule JSONB (RFC 5545 RRULE subset: DAILY/WEEKLY/MONTHLY + interval + count/until) + parent_recurrence_id; scheduler spawns the next occurrence on completion</t>
  </si>
  <si>
    <t>Estimated vs actual effort</t>
  </si>
  <si>
    <t>None — no time tracking fields</t>
  </si>
  <si>
    <t>Add estimated_minutes INT + actual_minutes INT; used for capacity planning reports</t>
  </si>
  <si>
    <t>Task dependencies / blocking</t>
  </si>
  <si>
    <t>None</t>
  </si>
  <si>
    <t>New table core.task_dependencies (task_id, depends_on_task_id, dep_type) — BLOCKS / BLOCKED_BY / RELATES_TO; surfaces as "Waiting on" chip</t>
  </si>
  <si>
    <t>System-generated task insertion</t>
  </si>
  <si>
    <t>task_inbox_service.create_task() called from workflow engine, reminder engine, requisition service — covers REQUISITION_APPROVAL, LEAVE_APPROVAL, REMINDER, etc.</t>
  </si>
  <si>
    <t>None — system-generated tasks land in inbox correctly</t>
  </si>
  <si>
    <t>User-initiated task creation (self-task)</t>
  </si>
  <si>
    <t>GET/POST /tasks/new live — renders form with title, description, priority, category, due date, and assignee autocomplete; modules/tasks/routes.py calls task_service.create_task()</t>
  </si>
  <si>
    <t>None — personal to-dos and self-tasks fully supported</t>
  </si>
  <si>
    <t>Assign task to another user</t>
  </si>
  <si>
    <t>/tasks/new includes an AJAX assignee picker (GET /api/employees/search); non-admin roles are scoped to same-department teammates; assignment fires the TASK_ASSIGNED notification</t>
  </si>
  <si>
    <t>None — assignment flow live with autocomplete + dept scoping</t>
  </si>
  <si>
    <t>Bulk task creation</t>
  </si>
  <si>
    <t>POST /tasks/bulk accepts CSV or multi-assignee form — create N tasks with the same template; useful for onboarding checklists, org-wide reminders</t>
  </si>
  <si>
    <t>Edit task in place</t>
  </si>
  <si>
    <t>None — tasks are immutable after creation (except complete/dismiss)</t>
  </si>
  <si>
    <t>PATCH /tasks/&lt;id&gt; for title/description/priority/due_date; restricted to assigner + assignee + SUPER_ADMIN; history log captures diff</t>
  </si>
  <si>
    <t>Quick-add widget on dashboard</t>
  </si>
  <si>
    <t>Floating "+ Task" button on every page (bottom-right) opens a modal — single-line title + optional due date; posts to /tasks/quick-add</t>
  </si>
  <si>
    <t>Task templates library</t>
  </si>
  <si>
    <t>core.task_templates (code, title, description, category, default_priority, checklist JSONB); one-click spawn from template, e.g. "New Hire Onboarding" → 12 subtasks</t>
  </si>
  <si>
    <t>3. Views</t>
  </si>
  <si>
    <t>Personal inbox list</t>
  </si>
  <si>
    <t>GET /me/inbox shows tasks for current employee with status/priority badges + action_url jump</t>
  </si>
  <si>
    <t>None — list view operational</t>
  </si>
  <si>
    <t>Mark read / complete / dismiss</t>
  </si>
  <si>
    <t>POST /me/inbox/&lt;id&gt;/complete + /dismiss + /mark-all-read routes live</t>
  </si>
  <si>
    <t>None — transitions wired</t>
  </si>
  <si>
    <t>Filter by status / priority / type / due date</t>
  </si>
  <si>
    <t>/me/inbox and /tasks/ accept ?status=&amp;priority=&amp;category=&amp;due=overdue|today|this_week&amp;q=&amp;sort= query params; filter chips render active state; task_service.list_tasks handles all filters server-side</t>
  </si>
  <si>
    <t>None — URL-driven filters live on inbox and all tasks views</t>
  </si>
  <si>
    <t>Sort: due date, priority, created</t>
  </si>
  <si>
    <t>Sort dropdown on /me/inbox and /tasks/ supports due_asc, due_desc, priority, created_asc, created_desc; mapped to SQL ORDER BY in task_service.list_tasks</t>
  </si>
  <si>
    <t>None — sort dropdown on every tasks list</t>
  </si>
  <si>
    <t>Search across title + description</t>
  </si>
  <si>
    <t>Search input on /me/inbox and /tasks/ posts ?q=; task_service.list_tasks applies ILIKE on title and description</t>
  </si>
  <si>
    <t>None — full-text keyword search live</t>
  </si>
  <si>
    <t>Kanban board (status columns)</t>
  </si>
  <si>
    <t>New /tasks/board view: 4 columns (PENDING, IN_PROGRESS, BLOCKED, COMPLETED); drag-and-drop status updates; inherits list filters</t>
  </si>
  <si>
    <t>Calendar view (by due_date)</t>
  </si>
  <si>
    <t>New /tasks/calendar embeds FullCalendar.js — tasks rendered as events by due_date; click opens detail modal</t>
  </si>
  <si>
    <t>Team / manager view (all my reports' tasks)</t>
  </si>
  <si>
    <t>GET /tasks/team (MANAGER+ only); task_service.list_tasks mode=team shows tasks assigned to employees in the manager's department; filters reuse the shared list template</t>
  </si>
  <si>
    <t>None — team aggregated view live with dept scope</t>
  </si>
  <si>
    <t>Global admin view</t>
  </si>
  <si>
    <t>GET /admin/tasks (HR_ADMIN+ only); uses task_service mode=admin to surface every task company-wide; same filters + extra assigner_id/assignee_employee_id filters for bulk audits</t>
  </si>
  <si>
    <t>None — company-wide admin view live</t>
  </si>
  <si>
    <t>Empty-state UX</t>
  </si>
  <si>
    <t>Shows "No tasks in your inbox" plain message</t>
  </si>
  <si>
    <t>Replace with illustrated empty state + "Create your first task" CTA + contextual tips (same pattern as /me/profile empty-state)</t>
  </si>
  <si>
    <t>4. Collaboration</t>
  </si>
  <si>
    <t>Comment on a task</t>
  </si>
  <si>
    <t>POST /tasks/&lt;id&gt;/comments inserts into core.task_comments; detail page renders timeline with author + timestamp; TASK_COMMENTED notification pushed to assignee + assigner</t>
  </si>
  <si>
    <t>None — comments thread live on every task detail page</t>
  </si>
  <si>
    <t>@mention another user</t>
  </si>
  <si>
    <t>task_service.add_comment() regex-parses @username tokens against core.users.username, stores mentioned_user_ids[] array, fires TASK_MENTIONED in-app notification; mentions highlight on render via render_mentions_html()</t>
  </si>
  <si>
    <t>None — @mention parsing + notifications live</t>
  </si>
  <si>
    <t>Upload attachments</t>
  </si>
  <si>
    <t>POST /tasks/&lt;id&gt;/attachments (multipart); virus-scan hook; display inline previews for images/PDFs</t>
  </si>
  <si>
    <t>Reassign / delegate</t>
  </si>
  <si>
    <t>None — once assigned, it's stuck to that user</t>
  </si>
  <si>
    <t>POST /tasks/&lt;id&gt;/reassign body={"new_assignee_id":N,"reason":"..."}; captured in history; notify both old + new assignee</t>
  </si>
  <si>
    <t>Watchers / followers</t>
  </si>
  <si>
    <t>New table core.task_watchers (task_id, user_id); watchers get all comment/status notifications without being the assignee</t>
  </si>
  <si>
    <t>5. Recurrence</t>
  </si>
  <si>
    <t>Recurring task scheduler</t>
  </si>
  <si>
    <t>Background job (APScheduler or cron) reads task.recurrence_rule daily + spawns next occurrence when parent completed; rec state persisted in parent_recurrence_id</t>
  </si>
  <si>
    <t>Onboarding / offboarding templates</t>
  </si>
  <si>
    <t>Migration 61 created core.task_templates + seeded 5 templates: ONBOARD_NEW_HIRE (12 items, Day 0-Month 1 offsets), OFFBOARD_SEPARATION (9 items), MONTHLY_KPI_REPORT, QUARTERLY_IPCR, ANNUAL_SALN_FILING; HR spawns via /admin/task-templates/&lt;code&gt;/spawn with multi-employee picker</t>
  </si>
  <si>
    <t>None — full template library with one-click spawning</t>
  </si>
  <si>
    <t>Smart due date (business-days aware)</t>
  </si>
  <si>
    <t>due_date is a plain DATE — no holiday awareness</t>
  </si>
  <si>
    <t>Add helper add_business_days(start, n) that skips weekends + entries in leave_mgmt.holidays; use when spawning recurrences + "Due in 3 business days"</t>
  </si>
  <si>
    <t>6. Notifications</t>
  </si>
  <si>
    <t>In-app notification on task assignment</t>
  </si>
  <si>
    <t>task_inbox_service.create_task() now fires TASK_ASSIGNED notification when created_by ≠ user_id; task_service.create_task() does the same on user-initiated assignments; push_in_app() dispatches the in-app bell</t>
  </si>
  <si>
    <t>None — TASK_ASSIGNED fires automatically on every cross-user assignment</t>
  </si>
  <si>
    <t>Email notification on assignment</t>
  </si>
  <si>
    <t>Migration 61 seeded 5 ntf_templates: task_assigned, task_due_24h, task_overdue, task_commented, task_mentioned; notification_service.notify() renders them for both in-app (channel_id=1) and email (channel_id=2 when available)</t>
  </si>
  <si>
    <t>None — templates ready for email/in-app dispatch</t>
  </si>
  <si>
    <t>Due date reminder (e.g. 24h before)</t>
  </si>
  <si>
    <t>services/reminder_engine.py TRIGGER_QUERIES has TASK_DUE_24H — fires when due_date = CURRENT_DATE + 1; deduped via source_key=core.task_inbox:&lt;id&gt;; reminder_rules row ensures rule is active</t>
  </si>
  <si>
    <t>None — 24h-before reminder live</t>
  </si>
  <si>
    <t>Overdue escalation</t>
  </si>
  <si>
    <t>reminder_engine.TRIGGER_QUERIES TASK_OVERDUE fires on due_date &lt; CURRENT_DATE; HIGH priority inbox task created daily while task stays open; dedupe via source_key=core.task_inbox:&lt;id&gt; prevents spam</t>
  </si>
  <si>
    <t>None — overdue reminder live</t>
  </si>
  <si>
    <t>Slack / MS Teams webhook</t>
  </si>
  <si>
    <t>None — in-app + email only</t>
  </si>
  <si>
    <t>Optional tenant-level webhook URL; on assignment/comment/overdue, POST JSON payload to configured webhook</t>
  </si>
  <si>
    <t>7. Access Control</t>
  </si>
  <si>
    <t>Pages in core.page_registry</t>
  </si>
  <si>
    <t>Migration 61 seeded 6 pages: /me/inbox, /tasks/, /tasks/new, /tasks/team, /admin/tasks, /admin/task-templates; role grants via role_page_access</t>
  </si>
  <si>
    <t>None — all task pages registered in access matrix</t>
  </si>
  <si>
    <t>Action features in feature_registry</t>
  </si>
  <si>
    <t>Migration 61 seeded 8 features: TASK_CREATE, TASK_ASSIGN, TASK_EDIT, TASK_COMPLETE, TASK_REASSIGN, TASK_COMMENT, TASK_DELETE, TASK_TEMPLATE_SPAWN; role_feature_access grants per tier</t>
  </si>
  <si>
    <t>None — features queryable from the access-matrix search box</t>
  </si>
  <si>
    <t>task_service._apply_scope_filter() restricts non-admin queries to own tasks (assignee/assigner) + team-manager scope to own department; mirrors requisition_service._apply_role_filter pattern</t>
  </si>
  <si>
    <t>None — dept-scoped visibility live across inbox/team/detail/admin</t>
  </si>
  <si>
    <t>Privacy: personal tasks hidden from admin?</t>
  </si>
  <si>
    <t>None — admins can see everything</t>
  </si>
  <si>
    <t>Add is_private BOOLEAN DEFAULT FALSE; when TRUE only assignee + assigner can view (even SUPER_ADMIN sees "Private task" placeholder)</t>
  </si>
  <si>
    <t>8. Reporting</t>
  </si>
  <si>
    <t>Dashboard KPI: open tasks count</t>
  </si>
  <si>
    <t>Migration 61 seeded 4 dashboard_metrics: tasks_open, tasks_overdue, tasks_completed_ytd, tasks_avg_completion_days; roles array drives RBAC; templated SQL uses {{user_id}} and {{role_code}} for per-user scope</t>
  </si>
  <si>
    <t>None — 4 task KPI cards live on dashboard</t>
  </si>
  <si>
    <t>Report Builder data source</t>
  </si>
  <si>
    <t>Migration 61 registered TASKS data source in analytics.report_data_sources with a 19-field report_field_registry (title, category, status, priority, due, age_days, is_overdue, assignee, department, assigner…); ARIA auto-discovers via services/aria_extensions.py</t>
  </si>
  <si>
    <t>None — TASKS source queryable in /reports/builder and ARIA</t>
  </si>
  <si>
    <t>Task completion rate report</t>
  </si>
  <si>
    <t>Preset report: per-user + per-department completion rate (completed / total), median turnaround, overdue %; weekly cadence</t>
  </si>
  <si>
    <t>Personal productivity chart</t>
  </si>
  <si>
    <t>On /me/inbox header: bar chart "tasks completed per week, last 12 weeks" using Chart.js; motivational streaks</t>
  </si>
  <si>
    <t>9. Integrations</t>
  </si>
  <si>
    <t>ARIA AI query surface</t>
  </si>
  <si>
    <t>ARIA auto-discovers new report_data_sources — once TASKS is seeded, queries like "my overdue tasks" work instantly</t>
  </si>
  <si>
    <t>Ships automatically when TASKS data source is registered (no code change)</t>
  </si>
  <si>
    <t>Guided tour for first-time users</t>
  </si>
  <si>
    <t>Seed core.tours tour_key=task-management-v1 — 6 steps: inbox → filters → quick-add → kanban → calendar → team view; auto-starts once at /me/inbox</t>
  </si>
  <si>
    <t>Form field tooltips (data-hint)</t>
  </si>
  <si>
    <t>Add data-hint attributes to every field on the new-task form (title, description, priority, due_date, assignee picker); tour engine auto-binds tooltip popovers</t>
  </si>
  <si>
    <t>Workflow engine hook</t>
  </si>
  <si>
    <t>Workflow engine already creates tasks via create_task() for every step assignee</t>
  </si>
  <si>
    <t>None — integration already live</t>
  </si>
  <si>
    <t>Performance review / IPCR linkage</t>
  </si>
  <si>
    <t>No link between tasks and IPCR objectives</t>
  </si>
  <si>
    <t>Optional tasks.ipcr_objective_id FK → performance.ipcr_objectives; task completion auto-updates objective progress %</t>
  </si>
  <si>
    <t>Calendar export (iCal)</t>
  </si>
  <si>
    <t>GET /tasks/export.ics returns a per-user ICS feed (tasks with due_date) that can be subscribed from Google / Outlook calendars</t>
  </si>
  <si>
    <t>Mobile PWA support</t>
  </si>
  <si>
    <t>Inbox works on mobile browser but not installable as app</t>
  </si>
  <si>
    <t>Add web app manifest + service worker (offline-first for /me/inbox); install-to-home-screen 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</si>
</sst>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b/>
      <sz val="16"/>
      <color rgb="FF1E40AF"/>
      <name val="Arial"/>
      <family val="2"/>
    </font>
    <font>
      <i/>
      <sz val="10"/>
      <color rgb="FF6B7280"/>
      <name val="Arial"/>
      <family val="2"/>
    </font>
    <font>
      <sz val="10"/>
      <color rgb="FF9CA3AF"/>
      <name val="Arial"/>
      <family val="2"/>
    </font>
    <font>
      <b/>
      <sz val="13"/>
      <color rgb="FF1E40AF"/>
      <name val="Arial"/>
      <family val="2"/>
    </font>
    <font>
      <b/>
      <sz val="11"/>
      <color rgb="FFFFFFFF"/>
      <name val="Arial"/>
      <family val="2"/>
    </font>
    <font>
      <b/>
      <sz val="10"/>
      <color rgb="FF166534"/>
      <name val="Arial"/>
      <family val="2"/>
    </font>
    <font>
      <sz val="10"/>
      <name val="Arial"/>
      <family val="2"/>
    </font>
    <font>
      <b/>
      <sz val="10"/>
      <color rgb="FF92400E"/>
      <name val="Arial"/>
      <family val="2"/>
    </font>
    <font>
      <b/>
      <sz val="10"/>
      <color rgb="FF991B1B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4"/>
      <color rgb="FF1E40AF"/>
      <name val="Arial"/>
      <family val="2"/>
    </font>
    <font>
      <i/>
      <sz val="11"/>
      <color rgb="FF6B7280"/>
      <name val="Arial"/>
      <family val="2"/>
    </font>
    <font>
      <i/>
      <sz val="9"/>
      <color rgb="FF6B7280"/>
      <name val="Arial"/>
      <family val="2"/>
    </font>
    <font>
      <b/>
      <sz val="9"/>
      <color rgb="FF166534"/>
      <name val="Arial"/>
      <family val="2"/>
    </font>
    <font>
      <b/>
      <sz val="10"/>
      <color rgb="FF1E40AF"/>
      <name val="Arial"/>
      <family val="2"/>
    </font>
    <font>
      <i/>
      <sz val="9"/>
      <color rgb="FF5B21B6"/>
      <name val="Arial"/>
      <family val="2"/>
    </font>
    <font>
      <b/>
      <sz val="9"/>
      <color rgb="FF92400E"/>
      <name val="Arial"/>
      <family val="2"/>
    </font>
    <font>
      <b/>
      <sz val="10"/>
      <color rgb="FF3730A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E0E7FF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0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1" xfId="0" applyFont="1" applyBorder="1" applyAlignment="1">
      <alignment horizontal="left" vertical="center" wrapText="1"/>
    </xf>
    <xf numFmtId="0" fontId="1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workbookViewId="0">
      <selection activeCell="A18" sqref="A18:F18"/>
    </sheetView>
  </sheetViews>
  <sheetFormatPr baseColWidth="10" defaultColWidth="8.83203125" defaultRowHeight="15" x14ac:dyDescent="0.2"/>
  <cols>
    <col min="1" max="1" width="14" customWidth="1"/>
    <col min="2" max="2" width="10" customWidth="1"/>
    <col min="3" max="3" width="12" customWidth="1"/>
    <col min="4" max="5" width="30" customWidth="1"/>
    <col min="6" max="6" width="20" customWidth="1"/>
  </cols>
  <sheetData>
    <row r="1" spans="1:6" ht="20" x14ac:dyDescent="0.2">
      <c r="A1" s="61" t="s">
        <v>0</v>
      </c>
      <c r="B1" s="53"/>
      <c r="C1" s="53"/>
      <c r="D1" s="53"/>
      <c r="E1" s="53"/>
      <c r="F1" s="53"/>
    </row>
    <row r="2" spans="1:6" x14ac:dyDescent="0.2">
      <c r="A2" s="58" t="s">
        <v>1</v>
      </c>
      <c r="B2" s="53"/>
      <c r="C2" s="53"/>
      <c r="D2" s="53"/>
      <c r="E2" s="53"/>
      <c r="F2" s="53"/>
    </row>
    <row r="3" spans="1:6" x14ac:dyDescent="0.2">
      <c r="A3" s="57" t="s">
        <v>2</v>
      </c>
      <c r="B3" s="53"/>
      <c r="C3" s="53"/>
      <c r="D3" s="53"/>
      <c r="E3" s="53"/>
      <c r="F3" s="53"/>
    </row>
    <row r="5" spans="1:6" ht="17" x14ac:dyDescent="0.2">
      <c r="A5" s="59" t="s">
        <v>3</v>
      </c>
      <c r="B5" s="53"/>
      <c r="C5" s="53"/>
      <c r="D5" s="53"/>
      <c r="E5" s="53"/>
      <c r="F5" s="53"/>
    </row>
    <row r="7" spans="1:6" x14ac:dyDescent="0.2">
      <c r="A7" s="1" t="s">
        <v>4</v>
      </c>
      <c r="B7" s="1" t="s">
        <v>5</v>
      </c>
      <c r="C7" s="1" t="s">
        <v>6</v>
      </c>
      <c r="D7" s="1" t="s">
        <v>7</v>
      </c>
    </row>
    <row r="8" spans="1:6" x14ac:dyDescent="0.2">
      <c r="A8" s="2" t="s">
        <v>8</v>
      </c>
      <c r="B8" s="3">
        <f>COUNTIF('Full Matrix'!C:C,"COVERED")</f>
        <v>89</v>
      </c>
      <c r="C8" s="4">
        <f>B8/$B$11</f>
        <v>0.78761061946902655</v>
      </c>
      <c r="D8" s="60" t="s">
        <v>9</v>
      </c>
      <c r="E8" s="55"/>
      <c r="F8" s="56"/>
    </row>
    <row r="9" spans="1:6" x14ac:dyDescent="0.2">
      <c r="A9" s="6" t="s">
        <v>10</v>
      </c>
      <c r="B9" s="3">
        <f>COUNTIF('Full Matrix'!C:C,"PARTIAL")</f>
        <v>23</v>
      </c>
      <c r="C9" s="4">
        <f>B9/$B$11</f>
        <v>0.20353982300884957</v>
      </c>
      <c r="D9" s="60" t="s">
        <v>11</v>
      </c>
      <c r="E9" s="55"/>
      <c r="F9" s="56"/>
    </row>
    <row r="10" spans="1:6" x14ac:dyDescent="0.2">
      <c r="A10" s="7" t="s">
        <v>12</v>
      </c>
      <c r="B10" s="3">
        <f>COUNTIF('Full Matrix'!C:C,"GAP")</f>
        <v>1</v>
      </c>
      <c r="C10" s="4">
        <f>B10/$B$11</f>
        <v>8.8495575221238937E-3</v>
      </c>
      <c r="D10" s="60" t="s">
        <v>13</v>
      </c>
      <c r="E10" s="55"/>
      <c r="F10" s="56"/>
    </row>
    <row r="11" spans="1:6" x14ac:dyDescent="0.2">
      <c r="A11" s="8" t="s">
        <v>14</v>
      </c>
      <c r="B11" s="9">
        <f>SUM(B8:B10)</f>
        <v>113</v>
      </c>
      <c r="C11" s="10">
        <v>1</v>
      </c>
      <c r="D11" s="54" t="s">
        <v>15</v>
      </c>
      <c r="E11" s="55"/>
      <c r="F11" s="56"/>
    </row>
    <row r="14" spans="1:6" ht="17" x14ac:dyDescent="0.2">
      <c r="A14" s="59" t="s">
        <v>16</v>
      </c>
      <c r="B14" s="53"/>
      <c r="C14" s="53"/>
      <c r="D14" s="53"/>
      <c r="E14" s="53"/>
      <c r="F14" s="53"/>
    </row>
    <row r="16" spans="1:6" x14ac:dyDescent="0.2">
      <c r="A16" s="52" t="s">
        <v>17</v>
      </c>
      <c r="B16" s="53"/>
      <c r="C16" s="53"/>
      <c r="D16" s="53"/>
      <c r="E16" s="53"/>
      <c r="F16" s="53"/>
    </row>
    <row r="17" spans="1:6" x14ac:dyDescent="0.2">
      <c r="A17" s="52" t="s">
        <v>18</v>
      </c>
      <c r="B17" s="53"/>
      <c r="C17" s="53"/>
      <c r="D17" s="53"/>
      <c r="E17" s="53"/>
      <c r="F17" s="53"/>
    </row>
    <row r="18" spans="1:6" x14ac:dyDescent="0.2">
      <c r="A18" s="52" t="s">
        <v>19</v>
      </c>
      <c r="B18" s="53"/>
      <c r="C18" s="53"/>
      <c r="D18" s="53"/>
      <c r="E18" s="53"/>
      <c r="F18" s="53"/>
    </row>
    <row r="19" spans="1:6" x14ac:dyDescent="0.2">
      <c r="A19" s="52" t="s">
        <v>20</v>
      </c>
      <c r="B19" s="53"/>
      <c r="C19" s="53"/>
      <c r="D19" s="53"/>
      <c r="E19" s="53"/>
      <c r="F19" s="53"/>
    </row>
    <row r="20" spans="1:6" x14ac:dyDescent="0.2">
      <c r="A20" s="52" t="s">
        <v>21</v>
      </c>
      <c r="B20" s="53"/>
      <c r="C20" s="53"/>
      <c r="D20" s="53"/>
      <c r="E20" s="53"/>
      <c r="F20" s="53"/>
    </row>
    <row r="21" spans="1:6" x14ac:dyDescent="0.2">
      <c r="A21" s="52" t="s">
        <v>22</v>
      </c>
      <c r="B21" s="53"/>
      <c r="C21" s="53"/>
      <c r="D21" s="53"/>
      <c r="E21" s="53"/>
      <c r="F21" s="53"/>
    </row>
    <row r="22" spans="1:6" x14ac:dyDescent="0.2">
      <c r="A22" s="52" t="s">
        <v>23</v>
      </c>
      <c r="B22" s="53"/>
      <c r="C22" s="53"/>
      <c r="D22" s="53"/>
      <c r="E22" s="53"/>
      <c r="F22" s="53"/>
    </row>
    <row r="23" spans="1:6" x14ac:dyDescent="0.2">
      <c r="A23" s="52" t="s">
        <v>24</v>
      </c>
      <c r="B23" s="53"/>
      <c r="C23" s="53"/>
      <c r="D23" s="53"/>
      <c r="E23" s="53"/>
      <c r="F23" s="53"/>
    </row>
    <row r="24" spans="1:6" x14ac:dyDescent="0.2">
      <c r="A24" s="52" t="s">
        <v>25</v>
      </c>
      <c r="B24" s="53"/>
      <c r="C24" s="53"/>
      <c r="D24" s="53"/>
      <c r="E24" s="53"/>
      <c r="F24" s="53"/>
    </row>
    <row r="25" spans="1:6" x14ac:dyDescent="0.2">
      <c r="A25" s="52" t="s">
        <v>26</v>
      </c>
      <c r="B25" s="53"/>
      <c r="C25" s="53"/>
      <c r="D25" s="53"/>
      <c r="E25" s="53"/>
      <c r="F25" s="53"/>
    </row>
  </sheetData>
  <mergeCells count="19">
    <mergeCell ref="A24:F24"/>
    <mergeCell ref="A1:F1"/>
    <mergeCell ref="A25:F25"/>
    <mergeCell ref="A2:F2"/>
    <mergeCell ref="A14:F14"/>
    <mergeCell ref="A5:F5"/>
    <mergeCell ref="A23:F23"/>
    <mergeCell ref="D9:F9"/>
    <mergeCell ref="A17:F17"/>
    <mergeCell ref="A22:F22"/>
    <mergeCell ref="A20:F20"/>
    <mergeCell ref="D8:F8"/>
    <mergeCell ref="A19:F19"/>
    <mergeCell ref="D10:F10"/>
    <mergeCell ref="A16:F16"/>
    <mergeCell ref="D11:F11"/>
    <mergeCell ref="A18:F18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"/>
  <sheetViews>
    <sheetView showGridLines="0" workbookViewId="0">
      <pane ySplit="1" topLeftCell="A41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55" customWidth="1"/>
    <col min="3" max="3" width="11" customWidth="1"/>
    <col min="4" max="4" width="28" customWidth="1"/>
    <col min="5" max="5" width="38" customWidth="1"/>
    <col min="6" max="6" width="55" customWidth="1"/>
    <col min="7" max="7" width="10" customWidth="1"/>
  </cols>
  <sheetData>
    <row r="1" spans="1:7" x14ac:dyDescent="0.2">
      <c r="A1" s="1" t="s">
        <v>27</v>
      </c>
      <c r="B1" s="1" t="s">
        <v>28</v>
      </c>
      <c r="C1" s="1" t="s">
        <v>4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36" customHeight="1" x14ac:dyDescent="0.2">
      <c r="A2" s="11" t="s">
        <v>33</v>
      </c>
      <c r="B2" s="11" t="s">
        <v>34</v>
      </c>
      <c r="C2" s="2" t="s">
        <v>8</v>
      </c>
      <c r="D2" s="11" t="s">
        <v>35</v>
      </c>
      <c r="E2" s="11" t="s">
        <v>36</v>
      </c>
      <c r="F2" s="11" t="s">
        <v>37</v>
      </c>
      <c r="G2" s="11" t="s">
        <v>38</v>
      </c>
    </row>
    <row r="3" spans="1:7" ht="36" customHeight="1" x14ac:dyDescent="0.2">
      <c r="A3" s="11" t="s">
        <v>33</v>
      </c>
      <c r="B3" s="11" t="s">
        <v>39</v>
      </c>
      <c r="C3" s="2" t="s">
        <v>8</v>
      </c>
      <c r="D3" s="11" t="s">
        <v>40</v>
      </c>
      <c r="E3" s="11" t="s">
        <v>41</v>
      </c>
      <c r="F3" s="11" t="s">
        <v>42</v>
      </c>
      <c r="G3" s="11" t="s">
        <v>38</v>
      </c>
    </row>
    <row r="4" spans="1:7" ht="36" customHeight="1" x14ac:dyDescent="0.2">
      <c r="A4" s="11" t="s">
        <v>33</v>
      </c>
      <c r="B4" s="11" t="s">
        <v>43</v>
      </c>
      <c r="C4" s="2" t="s">
        <v>8</v>
      </c>
      <c r="D4" s="11" t="s">
        <v>44</v>
      </c>
      <c r="E4" s="11" t="s">
        <v>45</v>
      </c>
      <c r="F4" s="11" t="s">
        <v>46</v>
      </c>
      <c r="G4" s="11" t="s">
        <v>38</v>
      </c>
    </row>
    <row r="5" spans="1:7" ht="36" customHeight="1" x14ac:dyDescent="0.2">
      <c r="A5" s="11" t="s">
        <v>33</v>
      </c>
      <c r="B5" s="11" t="s">
        <v>47</v>
      </c>
      <c r="C5" s="2" t="s">
        <v>8</v>
      </c>
      <c r="D5" s="11" t="s">
        <v>48</v>
      </c>
      <c r="E5" s="11" t="s">
        <v>49</v>
      </c>
      <c r="F5" s="11" t="s">
        <v>50</v>
      </c>
      <c r="G5" s="11" t="s">
        <v>38</v>
      </c>
    </row>
    <row r="6" spans="1:7" ht="36" customHeight="1" x14ac:dyDescent="0.2">
      <c r="A6" s="11" t="s">
        <v>33</v>
      </c>
      <c r="B6" s="11" t="s">
        <v>51</v>
      </c>
      <c r="C6" s="6" t="s">
        <v>10</v>
      </c>
      <c r="D6" s="11" t="s">
        <v>52</v>
      </c>
      <c r="E6" s="11" t="s">
        <v>53</v>
      </c>
      <c r="F6" s="11" t="s">
        <v>54</v>
      </c>
      <c r="G6" s="11" t="s">
        <v>55</v>
      </c>
    </row>
    <row r="7" spans="1:7" ht="36" customHeight="1" x14ac:dyDescent="0.2">
      <c r="A7" s="11" t="s">
        <v>56</v>
      </c>
      <c r="B7" s="11" t="s">
        <v>57</v>
      </c>
      <c r="C7" s="2" t="s">
        <v>8</v>
      </c>
      <c r="D7" s="11" t="s">
        <v>58</v>
      </c>
      <c r="E7" s="11" t="s">
        <v>59</v>
      </c>
      <c r="F7" s="11" t="s">
        <v>60</v>
      </c>
      <c r="G7" s="11" t="s">
        <v>38</v>
      </c>
    </row>
    <row r="8" spans="1:7" ht="36" customHeight="1" x14ac:dyDescent="0.2">
      <c r="A8" s="11" t="s">
        <v>56</v>
      </c>
      <c r="B8" s="11" t="s">
        <v>61</v>
      </c>
      <c r="C8" s="6" t="s">
        <v>10</v>
      </c>
      <c r="D8" s="11" t="s">
        <v>62</v>
      </c>
      <c r="E8" s="11" t="s">
        <v>63</v>
      </c>
      <c r="F8" s="11" t="s">
        <v>64</v>
      </c>
      <c r="G8" s="11" t="s">
        <v>65</v>
      </c>
    </row>
    <row r="9" spans="1:7" ht="36" customHeight="1" x14ac:dyDescent="0.2">
      <c r="A9" s="11" t="s">
        <v>56</v>
      </c>
      <c r="B9" s="11" t="s">
        <v>66</v>
      </c>
      <c r="C9" s="2" t="s">
        <v>8</v>
      </c>
      <c r="D9" s="11" t="s">
        <v>62</v>
      </c>
      <c r="E9" s="11" t="s">
        <v>67</v>
      </c>
      <c r="F9" s="11" t="s">
        <v>68</v>
      </c>
      <c r="G9" s="11" t="s">
        <v>38</v>
      </c>
    </row>
    <row r="10" spans="1:7" ht="36" customHeight="1" x14ac:dyDescent="0.2">
      <c r="A10" s="11" t="s">
        <v>56</v>
      </c>
      <c r="B10" s="11" t="s">
        <v>69</v>
      </c>
      <c r="C10" s="2" t="s">
        <v>8</v>
      </c>
      <c r="D10" s="11" t="s">
        <v>70</v>
      </c>
      <c r="E10" s="11" t="s">
        <v>71</v>
      </c>
      <c r="F10" s="11" t="s">
        <v>72</v>
      </c>
      <c r="G10" s="11" t="s">
        <v>38</v>
      </c>
    </row>
    <row r="11" spans="1:7" ht="36" customHeight="1" x14ac:dyDescent="0.2">
      <c r="A11" s="11" t="s">
        <v>56</v>
      </c>
      <c r="B11" s="11" t="s">
        <v>73</v>
      </c>
      <c r="C11" s="2" t="s">
        <v>8</v>
      </c>
      <c r="D11" s="11" t="s">
        <v>74</v>
      </c>
      <c r="E11" s="11" t="s">
        <v>75</v>
      </c>
      <c r="F11" s="11" t="s">
        <v>76</v>
      </c>
      <c r="G11" s="11" t="s">
        <v>38</v>
      </c>
    </row>
    <row r="12" spans="1:7" ht="36" customHeight="1" x14ac:dyDescent="0.2">
      <c r="A12" s="11" t="s">
        <v>56</v>
      </c>
      <c r="B12" s="11" t="s">
        <v>77</v>
      </c>
      <c r="C12" s="6" t="s">
        <v>10</v>
      </c>
      <c r="D12" s="11" t="s">
        <v>78</v>
      </c>
      <c r="E12" s="11" t="s">
        <v>79</v>
      </c>
      <c r="F12" s="11" t="s">
        <v>80</v>
      </c>
      <c r="G12" s="11" t="s">
        <v>65</v>
      </c>
    </row>
    <row r="13" spans="1:7" ht="36" customHeight="1" x14ac:dyDescent="0.2">
      <c r="A13" s="11" t="s">
        <v>56</v>
      </c>
      <c r="B13" s="11" t="s">
        <v>81</v>
      </c>
      <c r="C13" s="2" t="s">
        <v>8</v>
      </c>
      <c r="D13" s="11" t="s">
        <v>82</v>
      </c>
      <c r="E13" s="11" t="s">
        <v>83</v>
      </c>
      <c r="F13" s="11" t="s">
        <v>84</v>
      </c>
      <c r="G13" s="11" t="s">
        <v>38</v>
      </c>
    </row>
    <row r="14" spans="1:7" ht="36" customHeight="1" x14ac:dyDescent="0.2">
      <c r="A14" s="11" t="s">
        <v>85</v>
      </c>
      <c r="B14" s="11" t="s">
        <v>86</v>
      </c>
      <c r="C14" s="2" t="s">
        <v>8</v>
      </c>
      <c r="D14" s="11" t="s">
        <v>87</v>
      </c>
      <c r="E14" s="11" t="s">
        <v>88</v>
      </c>
      <c r="F14" s="11" t="s">
        <v>89</v>
      </c>
      <c r="G14" s="11" t="s">
        <v>38</v>
      </c>
    </row>
    <row r="15" spans="1:7" ht="36" customHeight="1" x14ac:dyDescent="0.2">
      <c r="A15" s="11" t="s">
        <v>85</v>
      </c>
      <c r="B15" s="11" t="s">
        <v>90</v>
      </c>
      <c r="C15" s="2" t="s">
        <v>8</v>
      </c>
      <c r="D15" s="11" t="s">
        <v>87</v>
      </c>
      <c r="E15" s="11" t="s">
        <v>88</v>
      </c>
      <c r="F15" s="11" t="s">
        <v>91</v>
      </c>
      <c r="G15" s="11" t="s">
        <v>38</v>
      </c>
    </row>
    <row r="16" spans="1:7" ht="36" customHeight="1" x14ac:dyDescent="0.2">
      <c r="A16" s="11" t="s">
        <v>85</v>
      </c>
      <c r="B16" s="11" t="s">
        <v>92</v>
      </c>
      <c r="C16" s="2" t="s">
        <v>8</v>
      </c>
      <c r="D16" s="11" t="s">
        <v>93</v>
      </c>
      <c r="E16" s="11" t="s">
        <v>94</v>
      </c>
      <c r="F16" s="11" t="s">
        <v>95</v>
      </c>
      <c r="G16" s="11" t="s">
        <v>38</v>
      </c>
    </row>
    <row r="17" spans="1:7" ht="36" customHeight="1" x14ac:dyDescent="0.2">
      <c r="A17" s="11" t="s">
        <v>96</v>
      </c>
      <c r="B17" s="11" t="s">
        <v>97</v>
      </c>
      <c r="C17" s="2" t="s">
        <v>8</v>
      </c>
      <c r="D17" s="11" t="s">
        <v>98</v>
      </c>
      <c r="E17" s="11" t="s">
        <v>99</v>
      </c>
      <c r="F17" s="11" t="s">
        <v>100</v>
      </c>
      <c r="G17" s="11" t="s">
        <v>38</v>
      </c>
    </row>
    <row r="18" spans="1:7" ht="36" customHeight="1" x14ac:dyDescent="0.2">
      <c r="A18" s="11" t="s">
        <v>96</v>
      </c>
      <c r="B18" s="11" t="s">
        <v>101</v>
      </c>
      <c r="C18" s="6" t="s">
        <v>10</v>
      </c>
      <c r="D18" s="11" t="s">
        <v>98</v>
      </c>
      <c r="E18" s="11" t="s">
        <v>102</v>
      </c>
      <c r="F18" s="11" t="s">
        <v>103</v>
      </c>
      <c r="G18" s="11" t="s">
        <v>65</v>
      </c>
    </row>
    <row r="19" spans="1:7" ht="36" customHeight="1" x14ac:dyDescent="0.2">
      <c r="A19" s="11" t="s">
        <v>96</v>
      </c>
      <c r="B19" s="11" t="s">
        <v>104</v>
      </c>
      <c r="C19" s="2" t="s">
        <v>8</v>
      </c>
      <c r="D19" s="11" t="s">
        <v>105</v>
      </c>
      <c r="E19" s="11" t="s">
        <v>106</v>
      </c>
      <c r="F19" s="11" t="s">
        <v>107</v>
      </c>
      <c r="G19" s="11" t="s">
        <v>38</v>
      </c>
    </row>
    <row r="20" spans="1:7" ht="36" customHeight="1" x14ac:dyDescent="0.2">
      <c r="A20" s="11" t="s">
        <v>96</v>
      </c>
      <c r="B20" s="11" t="s">
        <v>108</v>
      </c>
      <c r="C20" s="6" t="s">
        <v>10</v>
      </c>
      <c r="D20" s="11" t="s">
        <v>109</v>
      </c>
      <c r="E20" s="11" t="s">
        <v>110</v>
      </c>
      <c r="F20" s="11" t="s">
        <v>111</v>
      </c>
      <c r="G20" s="11" t="s">
        <v>65</v>
      </c>
    </row>
    <row r="21" spans="1:7" ht="36" customHeight="1" x14ac:dyDescent="0.2">
      <c r="A21" s="11" t="s">
        <v>96</v>
      </c>
      <c r="B21" s="11" t="s">
        <v>112</v>
      </c>
      <c r="C21" s="2" t="s">
        <v>8</v>
      </c>
      <c r="D21" s="11" t="s">
        <v>105</v>
      </c>
      <c r="E21" s="11" t="s">
        <v>113</v>
      </c>
      <c r="F21" s="11" t="s">
        <v>114</v>
      </c>
      <c r="G21" s="11" t="s">
        <v>38</v>
      </c>
    </row>
    <row r="22" spans="1:7" ht="36" customHeight="1" x14ac:dyDescent="0.2">
      <c r="A22" s="11" t="s">
        <v>96</v>
      </c>
      <c r="B22" s="11" t="s">
        <v>115</v>
      </c>
      <c r="C22" s="2" t="s">
        <v>8</v>
      </c>
      <c r="D22" s="11" t="s">
        <v>116</v>
      </c>
      <c r="E22" s="11" t="s">
        <v>117</v>
      </c>
      <c r="F22" s="11" t="s">
        <v>118</v>
      </c>
      <c r="G22" s="11" t="s">
        <v>38</v>
      </c>
    </row>
    <row r="23" spans="1:7" ht="36" customHeight="1" x14ac:dyDescent="0.2">
      <c r="A23" s="11" t="s">
        <v>96</v>
      </c>
      <c r="B23" s="11" t="s">
        <v>119</v>
      </c>
      <c r="C23" s="6" t="s">
        <v>10</v>
      </c>
      <c r="D23" s="11" t="s">
        <v>116</v>
      </c>
      <c r="E23" s="11" t="s">
        <v>120</v>
      </c>
      <c r="F23" s="11" t="s">
        <v>121</v>
      </c>
      <c r="G23" s="11" t="s">
        <v>55</v>
      </c>
    </row>
    <row r="24" spans="1:7" ht="36" customHeight="1" x14ac:dyDescent="0.2">
      <c r="A24" s="11" t="s">
        <v>96</v>
      </c>
      <c r="B24" s="11" t="s">
        <v>122</v>
      </c>
      <c r="C24" s="2" t="s">
        <v>8</v>
      </c>
      <c r="D24" s="11" t="s">
        <v>116</v>
      </c>
      <c r="E24" s="11" t="s">
        <v>123</v>
      </c>
      <c r="F24" s="11" t="s">
        <v>124</v>
      </c>
      <c r="G24" s="11" t="s">
        <v>38</v>
      </c>
    </row>
    <row r="25" spans="1:7" ht="36" customHeight="1" x14ac:dyDescent="0.2">
      <c r="A25" s="11" t="s">
        <v>96</v>
      </c>
      <c r="B25" s="11" t="s">
        <v>125</v>
      </c>
      <c r="C25" s="2" t="s">
        <v>8</v>
      </c>
      <c r="D25" s="11" t="s">
        <v>98</v>
      </c>
      <c r="E25" s="11" t="s">
        <v>126</v>
      </c>
      <c r="F25" s="11" t="s">
        <v>127</v>
      </c>
      <c r="G25" s="11" t="s">
        <v>38</v>
      </c>
    </row>
    <row r="26" spans="1:7" ht="36" customHeight="1" x14ac:dyDescent="0.2">
      <c r="A26" s="11" t="s">
        <v>96</v>
      </c>
      <c r="B26" s="11" t="s">
        <v>128</v>
      </c>
      <c r="C26" s="2" t="s">
        <v>8</v>
      </c>
      <c r="D26" s="11" t="s">
        <v>105</v>
      </c>
      <c r="E26" s="11" t="s">
        <v>129</v>
      </c>
      <c r="F26" s="11" t="s">
        <v>130</v>
      </c>
      <c r="G26" s="11" t="s">
        <v>38</v>
      </c>
    </row>
    <row r="27" spans="1:7" ht="36" customHeight="1" x14ac:dyDescent="0.2">
      <c r="A27" s="11" t="s">
        <v>96</v>
      </c>
      <c r="B27" s="11" t="s">
        <v>131</v>
      </c>
      <c r="C27" s="2" t="s">
        <v>8</v>
      </c>
      <c r="D27" s="11" t="s">
        <v>116</v>
      </c>
      <c r="E27" s="11" t="s">
        <v>132</v>
      </c>
      <c r="F27" s="11" t="s">
        <v>133</v>
      </c>
      <c r="G27" s="11" t="s">
        <v>38</v>
      </c>
    </row>
    <row r="28" spans="1:7" ht="36" customHeight="1" x14ac:dyDescent="0.2">
      <c r="A28" s="11" t="s">
        <v>96</v>
      </c>
      <c r="B28" s="11" t="s">
        <v>134</v>
      </c>
      <c r="C28" s="6" t="s">
        <v>10</v>
      </c>
      <c r="D28" s="11" t="s">
        <v>78</v>
      </c>
      <c r="E28" s="11" t="s">
        <v>79</v>
      </c>
      <c r="F28" s="11" t="s">
        <v>135</v>
      </c>
      <c r="G28" s="11" t="s">
        <v>65</v>
      </c>
    </row>
    <row r="29" spans="1:7" ht="36" customHeight="1" x14ac:dyDescent="0.2">
      <c r="A29" s="11" t="s">
        <v>96</v>
      </c>
      <c r="B29" s="11" t="s">
        <v>136</v>
      </c>
      <c r="C29" s="2" t="s">
        <v>8</v>
      </c>
      <c r="D29" s="11" t="s">
        <v>116</v>
      </c>
      <c r="E29" s="11" t="s">
        <v>137</v>
      </c>
      <c r="F29" s="11" t="s">
        <v>138</v>
      </c>
      <c r="G29" s="11" t="s">
        <v>38</v>
      </c>
    </row>
    <row r="30" spans="1:7" ht="36" customHeight="1" x14ac:dyDescent="0.2">
      <c r="A30" s="11" t="s">
        <v>96</v>
      </c>
      <c r="B30" s="11" t="s">
        <v>139</v>
      </c>
      <c r="C30" s="2" t="s">
        <v>8</v>
      </c>
      <c r="D30" s="11" t="s">
        <v>116</v>
      </c>
      <c r="E30" s="11" t="s">
        <v>140</v>
      </c>
      <c r="F30" s="11" t="s">
        <v>141</v>
      </c>
      <c r="G30" s="11" t="s">
        <v>38</v>
      </c>
    </row>
    <row r="31" spans="1:7" ht="36" customHeight="1" x14ac:dyDescent="0.2">
      <c r="A31" s="11" t="s">
        <v>96</v>
      </c>
      <c r="B31" s="11" t="s">
        <v>142</v>
      </c>
      <c r="C31" s="2" t="s">
        <v>8</v>
      </c>
      <c r="D31" s="11" t="s">
        <v>116</v>
      </c>
      <c r="E31" s="11" t="s">
        <v>143</v>
      </c>
      <c r="F31" s="11" t="s">
        <v>144</v>
      </c>
      <c r="G31" s="11" t="s">
        <v>38</v>
      </c>
    </row>
    <row r="32" spans="1:7" ht="36" customHeight="1" x14ac:dyDescent="0.2">
      <c r="A32" s="11" t="s">
        <v>145</v>
      </c>
      <c r="B32" s="11" t="s">
        <v>146</v>
      </c>
      <c r="C32" s="6" t="s">
        <v>10</v>
      </c>
      <c r="D32" s="11" t="s">
        <v>147</v>
      </c>
      <c r="E32" s="11" t="s">
        <v>148</v>
      </c>
      <c r="F32" s="11" t="s">
        <v>149</v>
      </c>
      <c r="G32" s="11" t="s">
        <v>65</v>
      </c>
    </row>
    <row r="33" spans="1:7" ht="36" customHeight="1" x14ac:dyDescent="0.2">
      <c r="A33" s="11" t="s">
        <v>145</v>
      </c>
      <c r="B33" s="11" t="s">
        <v>150</v>
      </c>
      <c r="C33" s="2" t="s">
        <v>8</v>
      </c>
      <c r="D33" s="11" t="s">
        <v>35</v>
      </c>
      <c r="E33" s="11" t="s">
        <v>151</v>
      </c>
      <c r="F33" s="11" t="s">
        <v>152</v>
      </c>
      <c r="G33" s="11" t="s">
        <v>38</v>
      </c>
    </row>
    <row r="34" spans="1:7" ht="36" customHeight="1" x14ac:dyDescent="0.2">
      <c r="A34" s="11" t="s">
        <v>145</v>
      </c>
      <c r="B34" s="11" t="s">
        <v>153</v>
      </c>
      <c r="C34" s="6" t="s">
        <v>10</v>
      </c>
      <c r="D34" s="11" t="s">
        <v>154</v>
      </c>
      <c r="E34" s="11" t="s">
        <v>155</v>
      </c>
      <c r="F34" s="11" t="s">
        <v>156</v>
      </c>
      <c r="G34" s="11" t="s">
        <v>65</v>
      </c>
    </row>
    <row r="35" spans="1:7" ht="36" customHeight="1" x14ac:dyDescent="0.2">
      <c r="A35" s="11" t="s">
        <v>145</v>
      </c>
      <c r="B35" s="11" t="s">
        <v>157</v>
      </c>
      <c r="C35" s="6" t="s">
        <v>10</v>
      </c>
      <c r="D35" s="11" t="s">
        <v>35</v>
      </c>
      <c r="E35" s="11" t="s">
        <v>148</v>
      </c>
      <c r="F35" s="11" t="s">
        <v>158</v>
      </c>
      <c r="G35" s="11" t="s">
        <v>65</v>
      </c>
    </row>
    <row r="36" spans="1:7" ht="36" customHeight="1" x14ac:dyDescent="0.2">
      <c r="A36" s="11" t="s">
        <v>145</v>
      </c>
      <c r="B36" s="11" t="s">
        <v>159</v>
      </c>
      <c r="C36" s="2" t="s">
        <v>8</v>
      </c>
      <c r="D36" s="11" t="s">
        <v>105</v>
      </c>
      <c r="E36" s="11" t="s">
        <v>160</v>
      </c>
      <c r="F36" s="11" t="s">
        <v>161</v>
      </c>
      <c r="G36" s="11" t="s">
        <v>38</v>
      </c>
    </row>
    <row r="37" spans="1:7" ht="36" customHeight="1" x14ac:dyDescent="0.2">
      <c r="A37" s="11" t="s">
        <v>162</v>
      </c>
      <c r="B37" s="11" t="s">
        <v>163</v>
      </c>
      <c r="C37" s="2" t="s">
        <v>8</v>
      </c>
      <c r="D37" s="11" t="s">
        <v>164</v>
      </c>
      <c r="E37" s="11" t="s">
        <v>165</v>
      </c>
      <c r="F37" s="11" t="s">
        <v>166</v>
      </c>
      <c r="G37" s="11" t="s">
        <v>38</v>
      </c>
    </row>
    <row r="38" spans="1:7" ht="36" customHeight="1" x14ac:dyDescent="0.2">
      <c r="A38" s="11" t="s">
        <v>162</v>
      </c>
      <c r="B38" s="11" t="s">
        <v>167</v>
      </c>
      <c r="C38" s="2" t="s">
        <v>8</v>
      </c>
      <c r="D38" s="11" t="s">
        <v>168</v>
      </c>
      <c r="E38" s="11" t="s">
        <v>169</v>
      </c>
      <c r="F38" s="11" t="s">
        <v>170</v>
      </c>
      <c r="G38" s="11" t="s">
        <v>38</v>
      </c>
    </row>
    <row r="39" spans="1:7" ht="36" customHeight="1" x14ac:dyDescent="0.2">
      <c r="A39" s="11" t="s">
        <v>162</v>
      </c>
      <c r="B39" s="11" t="s">
        <v>171</v>
      </c>
      <c r="C39" s="2" t="s">
        <v>8</v>
      </c>
      <c r="D39" s="11" t="s">
        <v>105</v>
      </c>
      <c r="E39" s="11" t="s">
        <v>172</v>
      </c>
      <c r="F39" s="11" t="s">
        <v>173</v>
      </c>
      <c r="G39" s="11" t="s">
        <v>38</v>
      </c>
    </row>
    <row r="40" spans="1:7" ht="36" customHeight="1" x14ac:dyDescent="0.2">
      <c r="A40" s="11" t="s">
        <v>174</v>
      </c>
      <c r="B40" s="11" t="s">
        <v>175</v>
      </c>
      <c r="C40" s="2" t="s">
        <v>8</v>
      </c>
      <c r="D40" s="11" t="s">
        <v>40</v>
      </c>
      <c r="E40" s="11" t="s">
        <v>176</v>
      </c>
      <c r="F40" s="11" t="s">
        <v>177</v>
      </c>
      <c r="G40" s="11" t="s">
        <v>38</v>
      </c>
    </row>
    <row r="41" spans="1:7" ht="36" customHeight="1" x14ac:dyDescent="0.2">
      <c r="A41" s="11" t="s">
        <v>174</v>
      </c>
      <c r="B41" s="11" t="s">
        <v>178</v>
      </c>
      <c r="C41" s="6" t="s">
        <v>10</v>
      </c>
      <c r="D41" s="11" t="s">
        <v>40</v>
      </c>
      <c r="E41" s="11" t="s">
        <v>179</v>
      </c>
      <c r="F41" s="11" t="s">
        <v>180</v>
      </c>
      <c r="G41" s="11" t="s">
        <v>55</v>
      </c>
    </row>
    <row r="42" spans="1:7" ht="36" customHeight="1" x14ac:dyDescent="0.2">
      <c r="A42" s="11" t="s">
        <v>174</v>
      </c>
      <c r="B42" s="11" t="s">
        <v>181</v>
      </c>
      <c r="C42" s="6" t="s">
        <v>10</v>
      </c>
      <c r="D42" s="11" t="s">
        <v>182</v>
      </c>
      <c r="E42" s="11" t="s">
        <v>183</v>
      </c>
      <c r="F42" s="11" t="s">
        <v>184</v>
      </c>
      <c r="G42" s="11" t="s">
        <v>65</v>
      </c>
    </row>
    <row r="43" spans="1:7" ht="36" customHeight="1" x14ac:dyDescent="0.2">
      <c r="A43" s="11" t="s">
        <v>185</v>
      </c>
      <c r="B43" s="11" t="s">
        <v>186</v>
      </c>
      <c r="C43" s="2" t="s">
        <v>8</v>
      </c>
      <c r="D43" s="11" t="s">
        <v>187</v>
      </c>
      <c r="E43" s="11" t="s">
        <v>188</v>
      </c>
      <c r="F43" s="11" t="s">
        <v>189</v>
      </c>
      <c r="G43" s="11" t="s">
        <v>38</v>
      </c>
    </row>
    <row r="44" spans="1:7" ht="36" customHeight="1" x14ac:dyDescent="0.2">
      <c r="A44" s="11" t="s">
        <v>185</v>
      </c>
      <c r="B44" s="11" t="s">
        <v>190</v>
      </c>
      <c r="C44" s="2" t="s">
        <v>8</v>
      </c>
      <c r="D44" s="11" t="s">
        <v>187</v>
      </c>
      <c r="E44" s="11" t="s">
        <v>191</v>
      </c>
      <c r="F44" s="11" t="s">
        <v>192</v>
      </c>
      <c r="G44" s="11" t="s">
        <v>38</v>
      </c>
    </row>
    <row r="45" spans="1:7" ht="36" customHeight="1" x14ac:dyDescent="0.2">
      <c r="A45" s="11" t="s">
        <v>185</v>
      </c>
      <c r="B45" s="11" t="s">
        <v>193</v>
      </c>
      <c r="C45" s="2" t="s">
        <v>8</v>
      </c>
      <c r="D45" s="11" t="s">
        <v>187</v>
      </c>
      <c r="E45" s="11" t="s">
        <v>194</v>
      </c>
      <c r="F45" s="11" t="s">
        <v>195</v>
      </c>
      <c r="G45" s="11" t="s">
        <v>38</v>
      </c>
    </row>
    <row r="46" spans="1:7" ht="36" customHeight="1" x14ac:dyDescent="0.2">
      <c r="A46" s="11" t="s">
        <v>196</v>
      </c>
      <c r="B46" s="11" t="s">
        <v>197</v>
      </c>
      <c r="C46" s="2" t="s">
        <v>8</v>
      </c>
      <c r="D46" s="11" t="s">
        <v>198</v>
      </c>
      <c r="E46" s="11" t="s">
        <v>199</v>
      </c>
      <c r="F46" s="11" t="s">
        <v>200</v>
      </c>
      <c r="G46" s="11" t="s">
        <v>38</v>
      </c>
    </row>
    <row r="47" spans="1:7" ht="36" customHeight="1" x14ac:dyDescent="0.2">
      <c r="A47" s="11" t="s">
        <v>196</v>
      </c>
      <c r="B47" s="11" t="s">
        <v>201</v>
      </c>
      <c r="C47" s="2" t="s">
        <v>8</v>
      </c>
      <c r="D47" s="11" t="s">
        <v>198</v>
      </c>
      <c r="E47" s="11" t="s">
        <v>199</v>
      </c>
      <c r="F47" s="11" t="s">
        <v>202</v>
      </c>
      <c r="G47" s="11" t="s">
        <v>38</v>
      </c>
    </row>
    <row r="48" spans="1:7" ht="36" customHeight="1" x14ac:dyDescent="0.2">
      <c r="A48" s="11" t="s">
        <v>196</v>
      </c>
      <c r="B48" s="11" t="s">
        <v>203</v>
      </c>
      <c r="C48" s="2" t="s">
        <v>8</v>
      </c>
      <c r="D48" s="11" t="s">
        <v>198</v>
      </c>
      <c r="E48" s="11" t="s">
        <v>204</v>
      </c>
      <c r="F48" s="11" t="s">
        <v>205</v>
      </c>
      <c r="G48" s="11" t="s">
        <v>38</v>
      </c>
    </row>
    <row r="49" spans="1:7" ht="36" customHeight="1" x14ac:dyDescent="0.2">
      <c r="A49" s="11" t="s">
        <v>206</v>
      </c>
      <c r="B49" s="11" t="s">
        <v>207</v>
      </c>
      <c r="C49" s="2" t="s">
        <v>8</v>
      </c>
      <c r="D49" s="11" t="s">
        <v>105</v>
      </c>
      <c r="E49" s="11" t="s">
        <v>208</v>
      </c>
      <c r="F49" s="11" t="s">
        <v>209</v>
      </c>
      <c r="G49" s="11" t="s">
        <v>38</v>
      </c>
    </row>
    <row r="50" spans="1:7" ht="36" customHeight="1" x14ac:dyDescent="0.2">
      <c r="A50" s="11" t="s">
        <v>206</v>
      </c>
      <c r="B50" s="11" t="s">
        <v>210</v>
      </c>
      <c r="C50" s="2" t="s">
        <v>8</v>
      </c>
      <c r="D50" s="11" t="s">
        <v>105</v>
      </c>
      <c r="E50" s="11" t="s">
        <v>211</v>
      </c>
      <c r="F50" s="11" t="s">
        <v>212</v>
      </c>
      <c r="G50" s="11" t="s">
        <v>38</v>
      </c>
    </row>
    <row r="51" spans="1:7" ht="36" customHeight="1" x14ac:dyDescent="0.2">
      <c r="A51" s="11" t="s">
        <v>206</v>
      </c>
      <c r="B51" s="11" t="s">
        <v>213</v>
      </c>
      <c r="C51" s="2" t="s">
        <v>8</v>
      </c>
      <c r="D51" s="11" t="s">
        <v>105</v>
      </c>
      <c r="E51" s="11" t="s">
        <v>214</v>
      </c>
      <c r="F51" s="11" t="s">
        <v>215</v>
      </c>
      <c r="G51" s="11" t="s">
        <v>38</v>
      </c>
    </row>
    <row r="52" spans="1:7" ht="36" customHeight="1" x14ac:dyDescent="0.2">
      <c r="A52" s="11" t="s">
        <v>206</v>
      </c>
      <c r="B52" s="11" t="s">
        <v>216</v>
      </c>
      <c r="C52" s="2" t="s">
        <v>8</v>
      </c>
      <c r="D52" s="11" t="s">
        <v>105</v>
      </c>
      <c r="E52" s="11" t="s">
        <v>217</v>
      </c>
      <c r="F52" s="11" t="s">
        <v>218</v>
      </c>
      <c r="G52" s="11" t="s">
        <v>38</v>
      </c>
    </row>
    <row r="53" spans="1:7" ht="36" customHeight="1" x14ac:dyDescent="0.2">
      <c r="A53" s="11" t="s">
        <v>219</v>
      </c>
      <c r="B53" s="11" t="s">
        <v>220</v>
      </c>
      <c r="C53" s="2" t="s">
        <v>8</v>
      </c>
      <c r="D53" s="11" t="s">
        <v>105</v>
      </c>
      <c r="E53" s="11" t="s">
        <v>221</v>
      </c>
      <c r="F53" s="11" t="s">
        <v>222</v>
      </c>
      <c r="G53" s="11" t="s">
        <v>38</v>
      </c>
    </row>
    <row r="54" spans="1:7" ht="36" customHeight="1" x14ac:dyDescent="0.2">
      <c r="A54" s="11" t="s">
        <v>219</v>
      </c>
      <c r="B54" s="11" t="s">
        <v>223</v>
      </c>
      <c r="C54" s="2" t="s">
        <v>8</v>
      </c>
      <c r="D54" s="11" t="s">
        <v>105</v>
      </c>
      <c r="E54" s="11" t="s">
        <v>224</v>
      </c>
      <c r="F54" s="11" t="s">
        <v>225</v>
      </c>
      <c r="G54" s="11" t="s">
        <v>38</v>
      </c>
    </row>
    <row r="55" spans="1:7" ht="36" customHeight="1" x14ac:dyDescent="0.2">
      <c r="A55" s="11" t="s">
        <v>219</v>
      </c>
      <c r="B55" s="11" t="s">
        <v>226</v>
      </c>
      <c r="C55" s="2" t="s">
        <v>8</v>
      </c>
      <c r="D55" s="11" t="s">
        <v>105</v>
      </c>
      <c r="E55" s="11" t="s">
        <v>221</v>
      </c>
      <c r="F55" s="11" t="s">
        <v>227</v>
      </c>
      <c r="G55" s="11" t="s">
        <v>38</v>
      </c>
    </row>
    <row r="56" spans="1:7" ht="36" customHeight="1" x14ac:dyDescent="0.2">
      <c r="A56" s="11" t="s">
        <v>219</v>
      </c>
      <c r="B56" s="11" t="s">
        <v>228</v>
      </c>
      <c r="C56" s="2" t="s">
        <v>8</v>
      </c>
      <c r="D56" s="11" t="s">
        <v>105</v>
      </c>
      <c r="E56" s="11" t="s">
        <v>229</v>
      </c>
      <c r="F56" s="11" t="s">
        <v>230</v>
      </c>
      <c r="G56" s="11" t="s">
        <v>38</v>
      </c>
    </row>
    <row r="57" spans="1:7" ht="36" customHeight="1" x14ac:dyDescent="0.2">
      <c r="A57" s="11" t="s">
        <v>219</v>
      </c>
      <c r="B57" s="11" t="s">
        <v>231</v>
      </c>
      <c r="C57" s="2" t="s">
        <v>8</v>
      </c>
      <c r="D57" s="11" t="s">
        <v>62</v>
      </c>
      <c r="E57" s="11" t="s">
        <v>232</v>
      </c>
      <c r="F57" s="11" t="s">
        <v>233</v>
      </c>
      <c r="G57" s="11" t="s">
        <v>38</v>
      </c>
    </row>
    <row r="58" spans="1:7" ht="36" customHeight="1" x14ac:dyDescent="0.2">
      <c r="A58" s="11" t="s">
        <v>234</v>
      </c>
      <c r="B58" s="11" t="s">
        <v>235</v>
      </c>
      <c r="C58" s="2" t="s">
        <v>8</v>
      </c>
      <c r="D58" s="11" t="s">
        <v>236</v>
      </c>
      <c r="E58" s="11" t="s">
        <v>237</v>
      </c>
      <c r="F58" s="11" t="s">
        <v>238</v>
      </c>
      <c r="G58" s="11" t="s">
        <v>38</v>
      </c>
    </row>
    <row r="59" spans="1:7" ht="36" customHeight="1" x14ac:dyDescent="0.2">
      <c r="A59" s="11" t="s">
        <v>234</v>
      </c>
      <c r="B59" s="11" t="s">
        <v>239</v>
      </c>
      <c r="C59" s="2" t="s">
        <v>8</v>
      </c>
      <c r="D59" s="11" t="s">
        <v>236</v>
      </c>
      <c r="E59" s="11" t="s">
        <v>240</v>
      </c>
      <c r="F59" s="11" t="s">
        <v>241</v>
      </c>
      <c r="G59" s="11" t="s">
        <v>38</v>
      </c>
    </row>
    <row r="60" spans="1:7" ht="36" customHeight="1" x14ac:dyDescent="0.2">
      <c r="A60" s="11" t="s">
        <v>234</v>
      </c>
      <c r="B60" s="11" t="s">
        <v>242</v>
      </c>
      <c r="C60" s="2" t="s">
        <v>8</v>
      </c>
      <c r="D60" s="11" t="s">
        <v>243</v>
      </c>
      <c r="E60" s="11" t="s">
        <v>244</v>
      </c>
      <c r="F60" s="11" t="s">
        <v>245</v>
      </c>
      <c r="G60" s="11" t="s">
        <v>38</v>
      </c>
    </row>
    <row r="61" spans="1:7" ht="36" customHeight="1" x14ac:dyDescent="0.2">
      <c r="A61" s="11" t="s">
        <v>234</v>
      </c>
      <c r="B61" s="11" t="s">
        <v>246</v>
      </c>
      <c r="C61" s="2" t="s">
        <v>8</v>
      </c>
      <c r="D61" s="11" t="s">
        <v>236</v>
      </c>
      <c r="E61" s="11" t="s">
        <v>247</v>
      </c>
      <c r="F61" s="11" t="s">
        <v>248</v>
      </c>
      <c r="G61" s="11" t="s">
        <v>38</v>
      </c>
    </row>
    <row r="62" spans="1:7" ht="36" customHeight="1" x14ac:dyDescent="0.2">
      <c r="A62" s="11" t="s">
        <v>234</v>
      </c>
      <c r="B62" s="11" t="s">
        <v>249</v>
      </c>
      <c r="C62" s="2" t="s">
        <v>8</v>
      </c>
      <c r="D62" s="11" t="s">
        <v>236</v>
      </c>
      <c r="E62" s="11" t="s">
        <v>247</v>
      </c>
      <c r="F62" s="11" t="s">
        <v>250</v>
      </c>
      <c r="G62" s="11" t="s">
        <v>38</v>
      </c>
    </row>
    <row r="63" spans="1:7" ht="36" customHeight="1" x14ac:dyDescent="0.2">
      <c r="A63" s="11" t="s">
        <v>234</v>
      </c>
      <c r="B63" s="11" t="s">
        <v>251</v>
      </c>
      <c r="C63" s="2" t="s">
        <v>8</v>
      </c>
      <c r="D63" s="11" t="s">
        <v>236</v>
      </c>
      <c r="E63" s="11" t="s">
        <v>247</v>
      </c>
      <c r="F63" s="11" t="s">
        <v>252</v>
      </c>
      <c r="G63" s="11" t="s">
        <v>38</v>
      </c>
    </row>
    <row r="64" spans="1:7" ht="36" customHeight="1" x14ac:dyDescent="0.2">
      <c r="A64" s="11" t="s">
        <v>234</v>
      </c>
      <c r="B64" s="11" t="s">
        <v>253</v>
      </c>
      <c r="C64" s="2" t="s">
        <v>8</v>
      </c>
      <c r="D64" s="11" t="s">
        <v>254</v>
      </c>
      <c r="E64" s="11" t="s">
        <v>255</v>
      </c>
      <c r="F64" s="11" t="s">
        <v>256</v>
      </c>
      <c r="G64" s="11" t="s">
        <v>38</v>
      </c>
    </row>
    <row r="65" spans="1:7" ht="36" customHeight="1" x14ac:dyDescent="0.2">
      <c r="A65" s="11" t="s">
        <v>234</v>
      </c>
      <c r="B65" s="11" t="s">
        <v>257</v>
      </c>
      <c r="C65" s="2" t="s">
        <v>8</v>
      </c>
      <c r="D65" s="11" t="s">
        <v>236</v>
      </c>
      <c r="E65" s="11" t="s">
        <v>258</v>
      </c>
      <c r="F65" s="11" t="s">
        <v>259</v>
      </c>
      <c r="G65" s="11" t="s">
        <v>38</v>
      </c>
    </row>
    <row r="66" spans="1:7" ht="36" customHeight="1" x14ac:dyDescent="0.2">
      <c r="A66" s="11" t="s">
        <v>260</v>
      </c>
      <c r="B66" s="11" t="s">
        <v>261</v>
      </c>
      <c r="C66" s="2" t="s">
        <v>8</v>
      </c>
      <c r="D66" s="11" t="s">
        <v>82</v>
      </c>
      <c r="E66" s="11" t="s">
        <v>83</v>
      </c>
      <c r="F66" s="11" t="s">
        <v>262</v>
      </c>
      <c r="G66" s="11" t="s">
        <v>38</v>
      </c>
    </row>
    <row r="67" spans="1:7" ht="36" customHeight="1" x14ac:dyDescent="0.2">
      <c r="A67" s="11" t="s">
        <v>260</v>
      </c>
      <c r="B67" s="11" t="s">
        <v>263</v>
      </c>
      <c r="C67" s="2" t="s">
        <v>8</v>
      </c>
      <c r="D67" s="11" t="s">
        <v>93</v>
      </c>
      <c r="E67" s="11" t="s">
        <v>264</v>
      </c>
      <c r="F67" s="11" t="s">
        <v>265</v>
      </c>
      <c r="G67" s="11" t="s">
        <v>38</v>
      </c>
    </row>
    <row r="68" spans="1:7" ht="36" customHeight="1" x14ac:dyDescent="0.2">
      <c r="A68" s="11" t="s">
        <v>260</v>
      </c>
      <c r="B68" s="11" t="s">
        <v>266</v>
      </c>
      <c r="C68" s="6" t="s">
        <v>10</v>
      </c>
      <c r="D68" s="11" t="s">
        <v>87</v>
      </c>
      <c r="E68" s="11" t="s">
        <v>267</v>
      </c>
      <c r="F68" s="11" t="s">
        <v>268</v>
      </c>
      <c r="G68" s="11" t="s">
        <v>55</v>
      </c>
    </row>
    <row r="69" spans="1:7" ht="36" customHeight="1" x14ac:dyDescent="0.2">
      <c r="A69" s="11" t="s">
        <v>260</v>
      </c>
      <c r="B69" s="11" t="s">
        <v>269</v>
      </c>
      <c r="C69" s="2" t="s">
        <v>8</v>
      </c>
      <c r="D69" s="11" t="s">
        <v>270</v>
      </c>
      <c r="E69" s="11" t="s">
        <v>271</v>
      </c>
      <c r="F69" s="11" t="s">
        <v>272</v>
      </c>
      <c r="G69" s="11" t="s">
        <v>38</v>
      </c>
    </row>
    <row r="70" spans="1:7" ht="36" customHeight="1" x14ac:dyDescent="0.2">
      <c r="A70" s="11" t="s">
        <v>260</v>
      </c>
      <c r="B70" s="11" t="s">
        <v>273</v>
      </c>
      <c r="C70" s="6" t="s">
        <v>10</v>
      </c>
      <c r="D70" s="11" t="s">
        <v>274</v>
      </c>
      <c r="E70" s="11" t="s">
        <v>155</v>
      </c>
      <c r="F70" s="11" t="s">
        <v>275</v>
      </c>
      <c r="G70" s="11" t="s">
        <v>65</v>
      </c>
    </row>
    <row r="71" spans="1:7" ht="36" customHeight="1" x14ac:dyDescent="0.2">
      <c r="A71" s="11" t="s">
        <v>276</v>
      </c>
      <c r="B71" s="11" t="s">
        <v>277</v>
      </c>
      <c r="C71" s="2" t="s">
        <v>8</v>
      </c>
      <c r="D71" s="11" t="s">
        <v>105</v>
      </c>
      <c r="E71" s="11" t="s">
        <v>278</v>
      </c>
      <c r="F71" s="11" t="s">
        <v>279</v>
      </c>
      <c r="G71" s="11" t="s">
        <v>38</v>
      </c>
    </row>
    <row r="72" spans="1:7" ht="36" customHeight="1" x14ac:dyDescent="0.2">
      <c r="A72" s="11" t="s">
        <v>276</v>
      </c>
      <c r="B72" s="11" t="s">
        <v>280</v>
      </c>
      <c r="C72" s="2" t="s">
        <v>8</v>
      </c>
      <c r="D72" s="11" t="s">
        <v>274</v>
      </c>
      <c r="E72" s="11" t="s">
        <v>281</v>
      </c>
      <c r="F72" s="11" t="s">
        <v>282</v>
      </c>
      <c r="G72" s="11" t="s">
        <v>38</v>
      </c>
    </row>
    <row r="73" spans="1:7" ht="36" customHeight="1" x14ac:dyDescent="0.2">
      <c r="A73" s="11" t="s">
        <v>276</v>
      </c>
      <c r="B73" s="11" t="s">
        <v>283</v>
      </c>
      <c r="C73" s="2" t="s">
        <v>8</v>
      </c>
      <c r="D73" s="11" t="s">
        <v>284</v>
      </c>
      <c r="E73" s="11" t="s">
        <v>285</v>
      </c>
      <c r="F73" s="11" t="s">
        <v>286</v>
      </c>
      <c r="G73" s="11" t="s">
        <v>38</v>
      </c>
    </row>
    <row r="74" spans="1:7" ht="36" customHeight="1" x14ac:dyDescent="0.2">
      <c r="A74" s="11" t="s">
        <v>276</v>
      </c>
      <c r="B74" s="11" t="s">
        <v>287</v>
      </c>
      <c r="C74" s="2" t="s">
        <v>8</v>
      </c>
      <c r="D74" s="11" t="s">
        <v>288</v>
      </c>
      <c r="E74" s="11" t="s">
        <v>289</v>
      </c>
      <c r="F74" s="11" t="s">
        <v>290</v>
      </c>
      <c r="G74" s="11" t="s">
        <v>38</v>
      </c>
    </row>
    <row r="75" spans="1:7" ht="36" customHeight="1" x14ac:dyDescent="0.2">
      <c r="A75" s="11" t="s">
        <v>276</v>
      </c>
      <c r="B75" s="11" t="s">
        <v>291</v>
      </c>
      <c r="C75" s="6" t="s">
        <v>10</v>
      </c>
      <c r="D75" s="11" t="s">
        <v>274</v>
      </c>
      <c r="E75" s="11" t="s">
        <v>292</v>
      </c>
      <c r="F75" s="11" t="s">
        <v>293</v>
      </c>
      <c r="G75" s="11" t="s">
        <v>55</v>
      </c>
    </row>
    <row r="76" spans="1:7" ht="36" customHeight="1" x14ac:dyDescent="0.2">
      <c r="A76" s="11" t="s">
        <v>276</v>
      </c>
      <c r="B76" s="11" t="s">
        <v>294</v>
      </c>
      <c r="C76" s="2" t="s">
        <v>8</v>
      </c>
      <c r="D76" s="11" t="s">
        <v>105</v>
      </c>
      <c r="E76" s="11" t="s">
        <v>295</v>
      </c>
      <c r="F76" s="11" t="s">
        <v>296</v>
      </c>
      <c r="G76" s="11" t="s">
        <v>38</v>
      </c>
    </row>
    <row r="77" spans="1:7" ht="36" customHeight="1" x14ac:dyDescent="0.2">
      <c r="A77" s="11" t="s">
        <v>276</v>
      </c>
      <c r="B77" s="11" t="s">
        <v>297</v>
      </c>
      <c r="C77" s="2" t="s">
        <v>8</v>
      </c>
      <c r="D77" s="11" t="s">
        <v>105</v>
      </c>
      <c r="E77" s="11" t="s">
        <v>298</v>
      </c>
      <c r="F77" s="11" t="s">
        <v>299</v>
      </c>
      <c r="G77" s="11" t="s">
        <v>38</v>
      </c>
    </row>
    <row r="78" spans="1:7" ht="36" customHeight="1" x14ac:dyDescent="0.2">
      <c r="A78" s="11" t="s">
        <v>276</v>
      </c>
      <c r="B78" s="11" t="s">
        <v>300</v>
      </c>
      <c r="C78" s="6" t="s">
        <v>10</v>
      </c>
      <c r="D78" s="11" t="s">
        <v>105</v>
      </c>
      <c r="E78" s="11" t="s">
        <v>301</v>
      </c>
      <c r="F78" s="11" t="s">
        <v>302</v>
      </c>
      <c r="G78" s="11" t="s">
        <v>55</v>
      </c>
    </row>
    <row r="79" spans="1:7" ht="36" customHeight="1" x14ac:dyDescent="0.2">
      <c r="A79" s="11" t="s">
        <v>303</v>
      </c>
      <c r="B79" s="11" t="s">
        <v>304</v>
      </c>
      <c r="C79" s="2" t="s">
        <v>8</v>
      </c>
      <c r="D79" s="11" t="s">
        <v>62</v>
      </c>
      <c r="E79" s="11" t="s">
        <v>305</v>
      </c>
      <c r="F79" s="11" t="s">
        <v>306</v>
      </c>
      <c r="G79" s="11" t="s">
        <v>38</v>
      </c>
    </row>
    <row r="80" spans="1:7" ht="36" customHeight="1" x14ac:dyDescent="0.2">
      <c r="A80" s="11" t="s">
        <v>303</v>
      </c>
      <c r="B80" s="11" t="s">
        <v>307</v>
      </c>
      <c r="C80" s="2" t="s">
        <v>8</v>
      </c>
      <c r="D80" s="11" t="s">
        <v>62</v>
      </c>
      <c r="E80" s="11" t="s">
        <v>305</v>
      </c>
      <c r="F80" s="11" t="s">
        <v>308</v>
      </c>
      <c r="G80" s="11" t="s">
        <v>38</v>
      </c>
    </row>
    <row r="81" spans="1:7" ht="36" customHeight="1" x14ac:dyDescent="0.2">
      <c r="A81" s="11" t="s">
        <v>303</v>
      </c>
      <c r="B81" s="11" t="s">
        <v>309</v>
      </c>
      <c r="C81" s="6" t="s">
        <v>10</v>
      </c>
      <c r="D81" s="11" t="s">
        <v>310</v>
      </c>
      <c r="E81" s="11" t="s">
        <v>311</v>
      </c>
      <c r="F81" s="11" t="s">
        <v>312</v>
      </c>
      <c r="G81" s="11" t="s">
        <v>65</v>
      </c>
    </row>
    <row r="82" spans="1:7" ht="36" customHeight="1" x14ac:dyDescent="0.2">
      <c r="A82" s="11" t="s">
        <v>303</v>
      </c>
      <c r="B82" s="11" t="s">
        <v>313</v>
      </c>
      <c r="C82" s="6" t="s">
        <v>10</v>
      </c>
      <c r="D82" s="11" t="s">
        <v>105</v>
      </c>
      <c r="E82" s="11" t="s">
        <v>314</v>
      </c>
      <c r="F82" s="11" t="s">
        <v>315</v>
      </c>
      <c r="G82" s="11" t="s">
        <v>65</v>
      </c>
    </row>
    <row r="83" spans="1:7" ht="36" customHeight="1" x14ac:dyDescent="0.2">
      <c r="A83" s="11" t="s">
        <v>303</v>
      </c>
      <c r="B83" s="11" t="s">
        <v>316</v>
      </c>
      <c r="C83" s="6" t="s">
        <v>10</v>
      </c>
      <c r="D83" s="11" t="s">
        <v>105</v>
      </c>
      <c r="E83" s="11" t="s">
        <v>317</v>
      </c>
      <c r="F83" s="11" t="s">
        <v>318</v>
      </c>
      <c r="G83" s="11" t="s">
        <v>65</v>
      </c>
    </row>
    <row r="84" spans="1:7" ht="36" customHeight="1" x14ac:dyDescent="0.2">
      <c r="A84" s="11" t="s">
        <v>303</v>
      </c>
      <c r="B84" s="11" t="s">
        <v>319</v>
      </c>
      <c r="C84" s="2" t="s">
        <v>8</v>
      </c>
      <c r="D84" s="11" t="s">
        <v>62</v>
      </c>
      <c r="E84" s="11" t="s">
        <v>320</v>
      </c>
      <c r="F84" s="11" t="s">
        <v>321</v>
      </c>
      <c r="G84" s="11" t="s">
        <v>38</v>
      </c>
    </row>
    <row r="85" spans="1:7" ht="36" customHeight="1" x14ac:dyDescent="0.2">
      <c r="A85" s="11" t="s">
        <v>303</v>
      </c>
      <c r="B85" s="11" t="s">
        <v>322</v>
      </c>
      <c r="C85" s="6" t="s">
        <v>10</v>
      </c>
      <c r="D85" s="11" t="s">
        <v>323</v>
      </c>
      <c r="E85" s="11" t="s">
        <v>324</v>
      </c>
      <c r="F85" s="11" t="s">
        <v>325</v>
      </c>
      <c r="G85" s="11" t="s">
        <v>65</v>
      </c>
    </row>
    <row r="86" spans="1:7" ht="36" customHeight="1" x14ac:dyDescent="0.2">
      <c r="A86" s="11" t="s">
        <v>303</v>
      </c>
      <c r="B86" s="11" t="s">
        <v>326</v>
      </c>
      <c r="C86" s="2" t="s">
        <v>8</v>
      </c>
      <c r="D86" s="11" t="s">
        <v>62</v>
      </c>
      <c r="E86" s="11" t="s">
        <v>305</v>
      </c>
      <c r="F86" s="11" t="s">
        <v>327</v>
      </c>
      <c r="G86" s="11" t="s">
        <v>38</v>
      </c>
    </row>
    <row r="87" spans="1:7" ht="36" customHeight="1" x14ac:dyDescent="0.2">
      <c r="A87" s="11" t="s">
        <v>303</v>
      </c>
      <c r="B87" s="11" t="s">
        <v>328</v>
      </c>
      <c r="C87" s="2" t="s">
        <v>8</v>
      </c>
      <c r="D87" s="11" t="s">
        <v>329</v>
      </c>
      <c r="E87" s="11" t="s">
        <v>330</v>
      </c>
      <c r="F87" s="11" t="s">
        <v>331</v>
      </c>
      <c r="G87" s="11" t="s">
        <v>38</v>
      </c>
    </row>
    <row r="88" spans="1:7" ht="36" customHeight="1" x14ac:dyDescent="0.2">
      <c r="A88" s="11" t="s">
        <v>332</v>
      </c>
      <c r="B88" s="11" t="s">
        <v>333</v>
      </c>
      <c r="C88" s="2" t="s">
        <v>8</v>
      </c>
      <c r="D88" s="11" t="s">
        <v>62</v>
      </c>
      <c r="E88" s="11" t="s">
        <v>334</v>
      </c>
      <c r="F88" s="11" t="s">
        <v>335</v>
      </c>
      <c r="G88" s="11" t="s">
        <v>38</v>
      </c>
    </row>
    <row r="89" spans="1:7" ht="36" customHeight="1" x14ac:dyDescent="0.2">
      <c r="A89" s="11" t="s">
        <v>332</v>
      </c>
      <c r="B89" s="11" t="s">
        <v>336</v>
      </c>
      <c r="C89" s="2" t="s">
        <v>8</v>
      </c>
      <c r="D89" s="11" t="s">
        <v>62</v>
      </c>
      <c r="E89" s="11" t="s">
        <v>337</v>
      </c>
      <c r="F89" s="11" t="s">
        <v>338</v>
      </c>
      <c r="G89" s="11" t="s">
        <v>38</v>
      </c>
    </row>
    <row r="90" spans="1:7" ht="36" customHeight="1" x14ac:dyDescent="0.2">
      <c r="A90" s="11" t="s">
        <v>332</v>
      </c>
      <c r="B90" s="11" t="s">
        <v>339</v>
      </c>
      <c r="C90" s="2" t="s">
        <v>8</v>
      </c>
      <c r="D90" s="11" t="s">
        <v>340</v>
      </c>
      <c r="E90" s="11" t="s">
        <v>341</v>
      </c>
      <c r="F90" s="11" t="s">
        <v>342</v>
      </c>
      <c r="G90" s="11" t="s">
        <v>38</v>
      </c>
    </row>
    <row r="91" spans="1:7" ht="36" customHeight="1" x14ac:dyDescent="0.2">
      <c r="A91" s="11" t="s">
        <v>343</v>
      </c>
      <c r="B91" s="11" t="s">
        <v>344</v>
      </c>
      <c r="C91" s="6" t="s">
        <v>10</v>
      </c>
      <c r="D91" s="11" t="s">
        <v>345</v>
      </c>
      <c r="E91" s="11" t="s">
        <v>346</v>
      </c>
      <c r="F91" s="11" t="s">
        <v>347</v>
      </c>
      <c r="G91" s="11" t="s">
        <v>55</v>
      </c>
    </row>
    <row r="92" spans="1:7" ht="36" customHeight="1" x14ac:dyDescent="0.2">
      <c r="A92" s="11" t="s">
        <v>343</v>
      </c>
      <c r="B92" s="11" t="s">
        <v>348</v>
      </c>
      <c r="C92" s="2" t="s">
        <v>8</v>
      </c>
      <c r="D92" s="11" t="s">
        <v>254</v>
      </c>
      <c r="E92" s="11" t="s">
        <v>349</v>
      </c>
      <c r="F92" s="11" t="s">
        <v>350</v>
      </c>
      <c r="G92" s="11" t="s">
        <v>38</v>
      </c>
    </row>
    <row r="93" spans="1:7" ht="36" customHeight="1" x14ac:dyDescent="0.2">
      <c r="A93" s="11" t="s">
        <v>343</v>
      </c>
      <c r="B93" s="11" t="s">
        <v>351</v>
      </c>
      <c r="C93" s="2" t="s">
        <v>8</v>
      </c>
      <c r="D93" s="11" t="s">
        <v>352</v>
      </c>
      <c r="E93" s="11" t="s">
        <v>353</v>
      </c>
      <c r="F93" s="11" t="s">
        <v>354</v>
      </c>
      <c r="G93" s="11" t="s">
        <v>38</v>
      </c>
    </row>
    <row r="94" spans="1:7" ht="36" customHeight="1" x14ac:dyDescent="0.2">
      <c r="A94" s="11" t="s">
        <v>343</v>
      </c>
      <c r="B94" s="11" t="s">
        <v>355</v>
      </c>
      <c r="C94" s="2" t="s">
        <v>8</v>
      </c>
      <c r="D94" s="11" t="s">
        <v>356</v>
      </c>
      <c r="E94" s="11" t="s">
        <v>357</v>
      </c>
      <c r="F94" s="11" t="s">
        <v>358</v>
      </c>
      <c r="G94" s="11" t="s">
        <v>38</v>
      </c>
    </row>
    <row r="95" spans="1:7" ht="36" customHeight="1" x14ac:dyDescent="0.2">
      <c r="A95" s="11" t="s">
        <v>359</v>
      </c>
      <c r="B95" s="11" t="s">
        <v>360</v>
      </c>
      <c r="C95" s="2" t="s">
        <v>8</v>
      </c>
      <c r="D95" s="11" t="s">
        <v>361</v>
      </c>
      <c r="E95" s="11" t="s">
        <v>362</v>
      </c>
      <c r="F95" s="11" t="s">
        <v>363</v>
      </c>
      <c r="G95" s="11" t="s">
        <v>38</v>
      </c>
    </row>
    <row r="96" spans="1:7" ht="36" customHeight="1" x14ac:dyDescent="0.2">
      <c r="A96" s="11" t="s">
        <v>359</v>
      </c>
      <c r="B96" s="11" t="s">
        <v>364</v>
      </c>
      <c r="C96" s="2" t="s">
        <v>8</v>
      </c>
      <c r="D96" s="11" t="s">
        <v>361</v>
      </c>
      <c r="E96" s="11" t="s">
        <v>365</v>
      </c>
      <c r="F96" s="11" t="s">
        <v>366</v>
      </c>
      <c r="G96" s="11" t="s">
        <v>38</v>
      </c>
    </row>
    <row r="97" spans="1:7" ht="36" customHeight="1" x14ac:dyDescent="0.2">
      <c r="A97" s="11" t="s">
        <v>359</v>
      </c>
      <c r="B97" s="11" t="s">
        <v>367</v>
      </c>
      <c r="C97" s="7" t="s">
        <v>12</v>
      </c>
      <c r="D97" s="11" t="s">
        <v>116</v>
      </c>
      <c r="E97" s="11" t="s">
        <v>368</v>
      </c>
      <c r="F97" s="11" t="s">
        <v>369</v>
      </c>
      <c r="G97" s="11" t="s">
        <v>55</v>
      </c>
    </row>
    <row r="98" spans="1:7" ht="36" customHeight="1" x14ac:dyDescent="0.2">
      <c r="A98" s="11" t="s">
        <v>359</v>
      </c>
      <c r="B98" s="11" t="s">
        <v>370</v>
      </c>
      <c r="C98" s="6" t="s">
        <v>10</v>
      </c>
      <c r="D98" s="11" t="s">
        <v>371</v>
      </c>
      <c r="E98" s="11" t="s">
        <v>372</v>
      </c>
      <c r="F98" s="11" t="s">
        <v>373</v>
      </c>
      <c r="G98" s="11" t="s">
        <v>65</v>
      </c>
    </row>
    <row r="99" spans="1:7" ht="36" customHeight="1" x14ac:dyDescent="0.2">
      <c r="A99" s="11" t="s">
        <v>374</v>
      </c>
      <c r="B99" s="11" t="s">
        <v>375</v>
      </c>
      <c r="C99" s="2" t="s">
        <v>8</v>
      </c>
      <c r="D99" s="11" t="s">
        <v>376</v>
      </c>
      <c r="E99" s="11" t="s">
        <v>377</v>
      </c>
      <c r="F99" s="11" t="s">
        <v>378</v>
      </c>
      <c r="G99" s="11" t="s">
        <v>38</v>
      </c>
    </row>
    <row r="100" spans="1:7" ht="36" customHeight="1" x14ac:dyDescent="0.2">
      <c r="A100" s="11" t="s">
        <v>374</v>
      </c>
      <c r="B100" s="11" t="s">
        <v>379</v>
      </c>
      <c r="C100" s="2" t="s">
        <v>8</v>
      </c>
      <c r="D100" s="11" t="s">
        <v>376</v>
      </c>
      <c r="E100" s="11" t="s">
        <v>380</v>
      </c>
      <c r="F100" s="11" t="s">
        <v>381</v>
      </c>
      <c r="G100" s="11" t="s">
        <v>38</v>
      </c>
    </row>
    <row r="101" spans="1:7" ht="36" customHeight="1" x14ac:dyDescent="0.2">
      <c r="A101" s="11" t="s">
        <v>374</v>
      </c>
      <c r="B101" s="11" t="s">
        <v>382</v>
      </c>
      <c r="C101" s="2" t="s">
        <v>8</v>
      </c>
      <c r="D101" s="11" t="s">
        <v>376</v>
      </c>
      <c r="E101" s="11" t="s">
        <v>383</v>
      </c>
      <c r="F101" s="11" t="s">
        <v>384</v>
      </c>
      <c r="G101" s="11" t="s">
        <v>38</v>
      </c>
    </row>
    <row r="102" spans="1:7" ht="36" customHeight="1" x14ac:dyDescent="0.2">
      <c r="A102" s="11" t="s">
        <v>374</v>
      </c>
      <c r="B102" s="11" t="s">
        <v>385</v>
      </c>
      <c r="C102" s="2" t="s">
        <v>8</v>
      </c>
      <c r="D102" s="11" t="s">
        <v>376</v>
      </c>
      <c r="E102" s="11" t="s">
        <v>386</v>
      </c>
      <c r="F102" s="11" t="s">
        <v>387</v>
      </c>
      <c r="G102" s="11" t="s">
        <v>38</v>
      </c>
    </row>
    <row r="103" spans="1:7" ht="36" customHeight="1" x14ac:dyDescent="0.2">
      <c r="A103" s="11" t="s">
        <v>374</v>
      </c>
      <c r="B103" s="11" t="s">
        <v>388</v>
      </c>
      <c r="C103" s="2" t="s">
        <v>8</v>
      </c>
      <c r="D103" s="11" t="s">
        <v>389</v>
      </c>
      <c r="E103" s="11" t="s">
        <v>390</v>
      </c>
      <c r="F103" s="11" t="s">
        <v>391</v>
      </c>
      <c r="G103" s="11" t="s">
        <v>38</v>
      </c>
    </row>
    <row r="104" spans="1:7" ht="36" customHeight="1" x14ac:dyDescent="0.2">
      <c r="A104" s="11" t="s">
        <v>374</v>
      </c>
      <c r="B104" s="11" t="s">
        <v>392</v>
      </c>
      <c r="C104" s="2" t="s">
        <v>8</v>
      </c>
      <c r="D104" s="11" t="s">
        <v>393</v>
      </c>
      <c r="E104" s="11" t="s">
        <v>394</v>
      </c>
      <c r="F104" s="11" t="s">
        <v>395</v>
      </c>
      <c r="G104" s="11" t="s">
        <v>38</v>
      </c>
    </row>
    <row r="105" spans="1:7" ht="36" customHeight="1" x14ac:dyDescent="0.2">
      <c r="A105" s="11" t="s">
        <v>396</v>
      </c>
      <c r="B105" s="11" t="s">
        <v>397</v>
      </c>
      <c r="C105" s="2" t="s">
        <v>8</v>
      </c>
      <c r="D105" s="11" t="s">
        <v>398</v>
      </c>
      <c r="E105" s="11" t="s">
        <v>399</v>
      </c>
      <c r="F105" s="11" t="s">
        <v>400</v>
      </c>
      <c r="G105" s="11" t="s">
        <v>38</v>
      </c>
    </row>
    <row r="106" spans="1:7" ht="36" customHeight="1" x14ac:dyDescent="0.2">
      <c r="A106" s="11" t="s">
        <v>396</v>
      </c>
      <c r="B106" s="11" t="s">
        <v>401</v>
      </c>
      <c r="C106" s="2" t="s">
        <v>8</v>
      </c>
      <c r="D106" s="11" t="s">
        <v>398</v>
      </c>
      <c r="E106" s="11" t="s">
        <v>402</v>
      </c>
      <c r="F106" s="11" t="s">
        <v>403</v>
      </c>
      <c r="G106" s="11" t="s">
        <v>38</v>
      </c>
    </row>
    <row r="107" spans="1:7" ht="36" customHeight="1" x14ac:dyDescent="0.2">
      <c r="A107" s="11" t="s">
        <v>404</v>
      </c>
      <c r="B107" s="11" t="s">
        <v>405</v>
      </c>
      <c r="C107" s="2" t="s">
        <v>8</v>
      </c>
      <c r="D107" s="11" t="s">
        <v>406</v>
      </c>
      <c r="E107" s="11" t="s">
        <v>407</v>
      </c>
      <c r="F107" s="11" t="s">
        <v>408</v>
      </c>
      <c r="G107" s="11" t="s">
        <v>38</v>
      </c>
    </row>
    <row r="108" spans="1:7" ht="36" customHeight="1" x14ac:dyDescent="0.2">
      <c r="A108" s="11" t="s">
        <v>404</v>
      </c>
      <c r="B108" s="11" t="s">
        <v>409</v>
      </c>
      <c r="C108" s="2" t="s">
        <v>8</v>
      </c>
      <c r="D108" s="11" t="s">
        <v>406</v>
      </c>
      <c r="E108" s="11" t="s">
        <v>410</v>
      </c>
      <c r="F108" s="11" t="s">
        <v>411</v>
      </c>
      <c r="G108" s="11" t="s">
        <v>38</v>
      </c>
    </row>
    <row r="109" spans="1:7" ht="36" customHeight="1" x14ac:dyDescent="0.2">
      <c r="A109" s="11" t="s">
        <v>404</v>
      </c>
      <c r="B109" s="11" t="s">
        <v>412</v>
      </c>
      <c r="C109" s="2" t="s">
        <v>8</v>
      </c>
      <c r="D109" s="11" t="s">
        <v>406</v>
      </c>
      <c r="E109" s="11" t="s">
        <v>413</v>
      </c>
      <c r="F109" s="11" t="s">
        <v>414</v>
      </c>
      <c r="G109" s="11" t="s">
        <v>38</v>
      </c>
    </row>
    <row r="110" spans="1:7" ht="36" customHeight="1" x14ac:dyDescent="0.2">
      <c r="A110" s="11" t="s">
        <v>415</v>
      </c>
      <c r="B110" s="11" t="s">
        <v>416</v>
      </c>
      <c r="C110" s="2" t="s">
        <v>8</v>
      </c>
      <c r="D110" s="11" t="s">
        <v>417</v>
      </c>
      <c r="E110" s="11" t="s">
        <v>418</v>
      </c>
      <c r="F110" s="11" t="s">
        <v>419</v>
      </c>
      <c r="G110" s="11" t="s">
        <v>38</v>
      </c>
    </row>
    <row r="111" spans="1:7" ht="36" customHeight="1" x14ac:dyDescent="0.2">
      <c r="A111" s="11" t="s">
        <v>415</v>
      </c>
      <c r="B111" s="11" t="s">
        <v>420</v>
      </c>
      <c r="C111" s="2" t="s">
        <v>8</v>
      </c>
      <c r="D111" s="11" t="s">
        <v>236</v>
      </c>
      <c r="E111" s="11" t="s">
        <v>421</v>
      </c>
      <c r="F111" s="11" t="s">
        <v>422</v>
      </c>
      <c r="G111" s="11" t="s">
        <v>38</v>
      </c>
    </row>
    <row r="112" spans="1:7" ht="36" customHeight="1" x14ac:dyDescent="0.2">
      <c r="A112" s="11" t="s">
        <v>415</v>
      </c>
      <c r="B112" s="11" t="s">
        <v>423</v>
      </c>
      <c r="C112" s="2" t="s">
        <v>8</v>
      </c>
      <c r="D112" s="11" t="s">
        <v>105</v>
      </c>
      <c r="E112" s="11" t="s">
        <v>224</v>
      </c>
      <c r="F112" s="11" t="s">
        <v>424</v>
      </c>
      <c r="G112" s="11" t="s">
        <v>38</v>
      </c>
    </row>
    <row r="113" spans="1:7" ht="36" customHeight="1" x14ac:dyDescent="0.2">
      <c r="A113" s="11" t="s">
        <v>425</v>
      </c>
      <c r="B113" s="11" t="s">
        <v>426</v>
      </c>
      <c r="C113" s="6" t="s">
        <v>10</v>
      </c>
      <c r="D113" s="11" t="s">
        <v>288</v>
      </c>
      <c r="E113" s="11" t="s">
        <v>427</v>
      </c>
      <c r="F113" s="11" t="s">
        <v>428</v>
      </c>
      <c r="G113" s="11" t="s">
        <v>65</v>
      </c>
    </row>
    <row r="114" spans="1:7" ht="36" customHeight="1" x14ac:dyDescent="0.2">
      <c r="A114" s="11" t="s">
        <v>425</v>
      </c>
      <c r="B114" s="11" t="s">
        <v>429</v>
      </c>
      <c r="C114" s="2" t="s">
        <v>8</v>
      </c>
      <c r="D114" s="11" t="s">
        <v>430</v>
      </c>
      <c r="E114" s="11" t="s">
        <v>431</v>
      </c>
      <c r="F114" s="11" t="s">
        <v>432</v>
      </c>
      <c r="G114" s="11" t="s">
        <v>38</v>
      </c>
    </row>
  </sheetData>
  <autoFilter ref="A1:G1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showGridLines="0"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28" customWidth="1"/>
    <col min="4" max="4" width="40" customWidth="1"/>
    <col min="5" max="6" width="14" customWidth="1"/>
    <col min="7" max="7" width="12" customWidth="1"/>
  </cols>
  <sheetData>
    <row r="1" spans="1:7" ht="20" x14ac:dyDescent="0.2">
      <c r="A1" s="61" t="s">
        <v>433</v>
      </c>
      <c r="B1" s="53"/>
      <c r="C1" s="53"/>
      <c r="D1" s="53"/>
      <c r="E1" s="53"/>
      <c r="F1" s="53"/>
      <c r="G1" s="53"/>
    </row>
    <row r="3" spans="1:7" x14ac:dyDescent="0.2">
      <c r="A3" s="1" t="s">
        <v>434</v>
      </c>
      <c r="B3" s="1" t="s">
        <v>28</v>
      </c>
      <c r="C3" s="1" t="s">
        <v>435</v>
      </c>
      <c r="D3" s="1" t="s">
        <v>436</v>
      </c>
      <c r="E3" s="1" t="s">
        <v>437</v>
      </c>
      <c r="F3" s="1" t="s">
        <v>438</v>
      </c>
      <c r="G3" s="1" t="s">
        <v>32</v>
      </c>
    </row>
    <row r="4" spans="1:7" x14ac:dyDescent="0.2">
      <c r="A4" s="12" t="s">
        <v>439</v>
      </c>
      <c r="B4" s="12" t="str">
        <f>COUNTA(A3:A4) &amp; " items"</f>
        <v>2 items</v>
      </c>
      <c r="E4" s="12" t="s">
        <v>440</v>
      </c>
      <c r="G4" s="12" t="s">
        <v>441</v>
      </c>
    </row>
  </sheetData>
  <autoFilter ref="A3:G3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showGridLines="0" workbookViewId="0">
      <pane ySplit="3" topLeftCell="A10" activePane="bottomLeft" state="frozen"/>
      <selection pane="bottomLeft" sqref="A1:D1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28" customWidth="1"/>
    <col min="4" max="4" width="70" customWidth="1"/>
  </cols>
  <sheetData>
    <row r="1" spans="1:4" ht="20" x14ac:dyDescent="0.2">
      <c r="A1" s="61" t="s">
        <v>442</v>
      </c>
      <c r="B1" s="53"/>
      <c r="C1" s="53"/>
      <c r="D1" s="53"/>
    </row>
    <row r="3" spans="1:4" x14ac:dyDescent="0.2">
      <c r="A3" s="1" t="s">
        <v>434</v>
      </c>
      <c r="B3" s="1" t="s">
        <v>443</v>
      </c>
      <c r="C3" s="1" t="s">
        <v>435</v>
      </c>
      <c r="D3" s="1" t="s">
        <v>444</v>
      </c>
    </row>
    <row r="4" spans="1:4" ht="30" customHeight="1" x14ac:dyDescent="0.2">
      <c r="A4" s="11" t="s">
        <v>445</v>
      </c>
      <c r="B4" s="11" t="s">
        <v>446</v>
      </c>
      <c r="C4" s="11" t="s">
        <v>447</v>
      </c>
      <c r="D4" s="11" t="s">
        <v>448</v>
      </c>
    </row>
    <row r="5" spans="1:4" ht="30" customHeight="1" x14ac:dyDescent="0.2">
      <c r="A5" s="11" t="s">
        <v>449</v>
      </c>
      <c r="B5" s="11" t="s">
        <v>450</v>
      </c>
      <c r="C5" s="11" t="s">
        <v>451</v>
      </c>
      <c r="D5" s="11" t="s">
        <v>452</v>
      </c>
    </row>
    <row r="6" spans="1:4" ht="30" customHeight="1" x14ac:dyDescent="0.2">
      <c r="A6" s="11" t="s">
        <v>453</v>
      </c>
      <c r="B6" s="11" t="s">
        <v>454</v>
      </c>
      <c r="C6" s="11" t="s">
        <v>455</v>
      </c>
      <c r="D6" s="11" t="s">
        <v>456</v>
      </c>
    </row>
    <row r="7" spans="1:4" ht="30" customHeight="1" x14ac:dyDescent="0.2">
      <c r="A7" s="11" t="s">
        <v>457</v>
      </c>
      <c r="B7" s="11" t="s">
        <v>458</v>
      </c>
      <c r="C7" s="11" t="s">
        <v>451</v>
      </c>
      <c r="D7" s="11" t="s">
        <v>459</v>
      </c>
    </row>
    <row r="8" spans="1:4" ht="30" customHeight="1" x14ac:dyDescent="0.2">
      <c r="A8" s="11" t="s">
        <v>460</v>
      </c>
      <c r="B8" s="11" t="s">
        <v>461</v>
      </c>
      <c r="C8" s="11" t="s">
        <v>105</v>
      </c>
      <c r="D8" s="11" t="s">
        <v>462</v>
      </c>
    </row>
    <row r="9" spans="1:4" ht="30" customHeight="1" x14ac:dyDescent="0.2">
      <c r="A9" s="11" t="s">
        <v>463</v>
      </c>
      <c r="B9" s="11" t="s">
        <v>464</v>
      </c>
      <c r="C9" s="11" t="s">
        <v>105</v>
      </c>
      <c r="D9" s="11" t="s">
        <v>465</v>
      </c>
    </row>
    <row r="10" spans="1:4" ht="30" customHeight="1" x14ac:dyDescent="0.2">
      <c r="A10" s="11" t="s">
        <v>466</v>
      </c>
      <c r="B10" s="11" t="s">
        <v>467</v>
      </c>
      <c r="C10" s="11" t="s">
        <v>105</v>
      </c>
      <c r="D10" s="11" t="s">
        <v>468</v>
      </c>
    </row>
    <row r="11" spans="1:4" ht="30" customHeight="1" x14ac:dyDescent="0.2">
      <c r="A11" s="11" t="s">
        <v>469</v>
      </c>
      <c r="B11" s="11" t="s">
        <v>470</v>
      </c>
      <c r="C11" s="11" t="s">
        <v>323</v>
      </c>
      <c r="D11" s="11" t="s">
        <v>471</v>
      </c>
    </row>
    <row r="12" spans="1:4" ht="30" customHeight="1" x14ac:dyDescent="0.2">
      <c r="A12" s="11" t="s">
        <v>472</v>
      </c>
      <c r="B12" s="11" t="s">
        <v>473</v>
      </c>
      <c r="C12" s="11" t="s">
        <v>474</v>
      </c>
      <c r="D12" s="11" t="s">
        <v>475</v>
      </c>
    </row>
    <row r="13" spans="1:4" ht="30" customHeight="1" x14ac:dyDescent="0.2">
      <c r="A13" s="11" t="s">
        <v>476</v>
      </c>
      <c r="B13" s="11" t="s">
        <v>477</v>
      </c>
      <c r="C13" s="11" t="s">
        <v>274</v>
      </c>
      <c r="D13" s="11" t="s">
        <v>478</v>
      </c>
    </row>
    <row r="14" spans="1:4" ht="30" customHeight="1" x14ac:dyDescent="0.2">
      <c r="A14" s="11" t="s">
        <v>479</v>
      </c>
      <c r="B14" s="11" t="s">
        <v>480</v>
      </c>
      <c r="C14" s="11" t="s">
        <v>78</v>
      </c>
      <c r="D14" s="11" t="s">
        <v>481</v>
      </c>
    </row>
    <row r="15" spans="1:4" ht="30" customHeight="1" x14ac:dyDescent="0.2">
      <c r="A15" s="11" t="s">
        <v>482</v>
      </c>
      <c r="B15" s="11" t="s">
        <v>483</v>
      </c>
      <c r="C15" s="11" t="s">
        <v>87</v>
      </c>
      <c r="D15" s="11" t="s">
        <v>484</v>
      </c>
    </row>
    <row r="16" spans="1:4" ht="30" customHeight="1" x14ac:dyDescent="0.2">
      <c r="A16" s="11" t="s">
        <v>485</v>
      </c>
      <c r="B16" s="11" t="s">
        <v>486</v>
      </c>
      <c r="C16" s="11" t="s">
        <v>274</v>
      </c>
      <c r="D16" s="11" t="s">
        <v>487</v>
      </c>
    </row>
    <row r="17" spans="1:4" ht="30" customHeight="1" x14ac:dyDescent="0.2">
      <c r="A17" s="11" t="s">
        <v>488</v>
      </c>
      <c r="B17" s="11" t="s">
        <v>489</v>
      </c>
      <c r="C17" s="11" t="s">
        <v>62</v>
      </c>
      <c r="D17" s="11" t="s">
        <v>490</v>
      </c>
    </row>
    <row r="18" spans="1:4" ht="30" customHeight="1" x14ac:dyDescent="0.2">
      <c r="A18" s="11" t="s">
        <v>491</v>
      </c>
      <c r="B18" s="11" t="s">
        <v>492</v>
      </c>
      <c r="C18" s="11" t="s">
        <v>371</v>
      </c>
      <c r="D18" s="11" t="s">
        <v>493</v>
      </c>
    </row>
    <row r="19" spans="1:4" ht="30" customHeight="1" x14ac:dyDescent="0.2">
      <c r="A19" s="11" t="s">
        <v>494</v>
      </c>
      <c r="B19" s="11" t="s">
        <v>495</v>
      </c>
      <c r="C19" s="11" t="s">
        <v>455</v>
      </c>
      <c r="D19" s="11" t="s">
        <v>496</v>
      </c>
    </row>
    <row r="20" spans="1:4" ht="30" customHeight="1" x14ac:dyDescent="0.2">
      <c r="A20" s="11" t="s">
        <v>497</v>
      </c>
      <c r="B20" s="11" t="s">
        <v>498</v>
      </c>
      <c r="C20" s="11" t="s">
        <v>345</v>
      </c>
      <c r="D20" s="11" t="s">
        <v>499</v>
      </c>
    </row>
    <row r="21" spans="1:4" ht="30" customHeight="1" x14ac:dyDescent="0.2">
      <c r="A21" s="11" t="s">
        <v>500</v>
      </c>
      <c r="B21" s="11" t="s">
        <v>501</v>
      </c>
      <c r="C21" s="11" t="s">
        <v>274</v>
      </c>
      <c r="D21" s="11" t="s">
        <v>502</v>
      </c>
    </row>
    <row r="22" spans="1:4" ht="30" customHeight="1" x14ac:dyDescent="0.2">
      <c r="A22" s="11" t="s">
        <v>503</v>
      </c>
      <c r="B22" s="11" t="s">
        <v>504</v>
      </c>
      <c r="C22" s="11" t="s">
        <v>105</v>
      </c>
      <c r="D22" s="11" t="s">
        <v>505</v>
      </c>
    </row>
  </sheetData>
  <autoFilter ref="A3:D22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workbookViewId="0">
      <pane ySplit="3" topLeftCell="A4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30" customWidth="1"/>
    <col min="2" max="5" width="11" customWidth="1"/>
    <col min="6" max="6" width="14" customWidth="1"/>
  </cols>
  <sheetData>
    <row r="1" spans="1:6" ht="20" x14ac:dyDescent="0.2">
      <c r="A1" s="61" t="s">
        <v>506</v>
      </c>
      <c r="B1" s="53"/>
      <c r="C1" s="53"/>
      <c r="D1" s="53"/>
      <c r="E1" s="53"/>
      <c r="F1" s="53"/>
    </row>
    <row r="3" spans="1:6" x14ac:dyDescent="0.2">
      <c r="A3" s="1" t="s">
        <v>507</v>
      </c>
      <c r="B3" s="1" t="s">
        <v>8</v>
      </c>
      <c r="C3" s="1" t="s">
        <v>10</v>
      </c>
      <c r="D3" s="1" t="s">
        <v>12</v>
      </c>
      <c r="E3" s="1" t="s">
        <v>508</v>
      </c>
      <c r="F3" s="1" t="s">
        <v>509</v>
      </c>
    </row>
    <row r="4" spans="1:6" x14ac:dyDescent="0.2">
      <c r="A4" s="5" t="s">
        <v>105</v>
      </c>
      <c r="B4" s="13">
        <f>COUNTIFS('Full Matrix'!D:D,"*"&amp;A4&amp;"*",'Full Matrix'!C:C,"COVERED")</f>
        <v>18</v>
      </c>
      <c r="C4" s="14">
        <f>COUNTIFS('Full Matrix'!D:D,"*"&amp;A4&amp;"*",'Full Matrix'!C:C,"PARTIAL")</f>
        <v>4</v>
      </c>
      <c r="D4" s="15">
        <f>COUNTIFS('Full Matrix'!D:D,"*"&amp;A4&amp;"*",'Full Matrix'!C:C,"GAP")</f>
        <v>0</v>
      </c>
      <c r="E4" s="9">
        <f t="shared" ref="E4:E32" si="0">SUM(B4:D4)</f>
        <v>22</v>
      </c>
      <c r="F4" s="4">
        <f t="shared" ref="F4:F33" si="1">IF(E4=0,0,B4/E4)</f>
        <v>0.81818181818181823</v>
      </c>
    </row>
    <row r="5" spans="1:6" x14ac:dyDescent="0.2">
      <c r="A5" s="5" t="s">
        <v>116</v>
      </c>
      <c r="B5" s="13">
        <f>COUNTIFS('Full Matrix'!D:D,"*"&amp;A5&amp;"*",'Full Matrix'!C:C,"COVERED")</f>
        <v>6</v>
      </c>
      <c r="C5" s="14">
        <f>COUNTIFS('Full Matrix'!D:D,"*"&amp;A5&amp;"*",'Full Matrix'!C:C,"PARTIAL")</f>
        <v>1</v>
      </c>
      <c r="D5" s="15">
        <f>COUNTIFS('Full Matrix'!D:D,"*"&amp;A5&amp;"*",'Full Matrix'!C:C,"GAP")</f>
        <v>1</v>
      </c>
      <c r="E5" s="9">
        <f t="shared" si="0"/>
        <v>8</v>
      </c>
      <c r="F5" s="4">
        <f t="shared" si="1"/>
        <v>0.75</v>
      </c>
    </row>
    <row r="6" spans="1:6" x14ac:dyDescent="0.2">
      <c r="A6" s="5" t="s">
        <v>98</v>
      </c>
      <c r="B6" s="13">
        <f>COUNTIFS('Full Matrix'!D:D,"*"&amp;A6&amp;"*",'Full Matrix'!C:C,"COVERED")</f>
        <v>2</v>
      </c>
      <c r="C6" s="14">
        <f>COUNTIFS('Full Matrix'!D:D,"*"&amp;A6&amp;"*",'Full Matrix'!C:C,"PARTIAL")</f>
        <v>1</v>
      </c>
      <c r="D6" s="15">
        <f>COUNTIFS('Full Matrix'!D:D,"*"&amp;A6&amp;"*",'Full Matrix'!C:C,"GAP")</f>
        <v>0</v>
      </c>
      <c r="E6" s="9">
        <f t="shared" si="0"/>
        <v>3</v>
      </c>
      <c r="F6" s="4">
        <f t="shared" si="1"/>
        <v>0.66666666666666663</v>
      </c>
    </row>
    <row r="7" spans="1:6" x14ac:dyDescent="0.2">
      <c r="A7" s="5" t="s">
        <v>236</v>
      </c>
      <c r="B7" s="13">
        <f>COUNTIFS('Full Matrix'!D:D,"*"&amp;A7&amp;"*",'Full Matrix'!C:C,"COVERED")</f>
        <v>9</v>
      </c>
      <c r="C7" s="14">
        <f>COUNTIFS('Full Matrix'!D:D,"*"&amp;A7&amp;"*",'Full Matrix'!C:C,"PARTIAL")</f>
        <v>0</v>
      </c>
      <c r="D7" s="15">
        <f>COUNTIFS('Full Matrix'!D:D,"*"&amp;A7&amp;"*",'Full Matrix'!C:C,"GAP")</f>
        <v>0</v>
      </c>
      <c r="E7" s="9">
        <f t="shared" si="0"/>
        <v>9</v>
      </c>
      <c r="F7" s="4">
        <f t="shared" si="1"/>
        <v>1</v>
      </c>
    </row>
    <row r="8" spans="1:6" x14ac:dyDescent="0.2">
      <c r="A8" s="5" t="s">
        <v>35</v>
      </c>
      <c r="B8" s="13">
        <f>COUNTIFS('Full Matrix'!D:D,"*"&amp;A8&amp;"*",'Full Matrix'!C:C,"COVERED")</f>
        <v>2</v>
      </c>
      <c r="C8" s="14">
        <f>COUNTIFS('Full Matrix'!D:D,"*"&amp;A8&amp;"*",'Full Matrix'!C:C,"PARTIAL")</f>
        <v>2</v>
      </c>
      <c r="D8" s="15">
        <f>COUNTIFS('Full Matrix'!D:D,"*"&amp;A8&amp;"*",'Full Matrix'!C:C,"GAP")</f>
        <v>0</v>
      </c>
      <c r="E8" s="9">
        <f t="shared" si="0"/>
        <v>4</v>
      </c>
      <c r="F8" s="4">
        <f t="shared" si="1"/>
        <v>0.5</v>
      </c>
    </row>
    <row r="9" spans="1:6" x14ac:dyDescent="0.2">
      <c r="A9" s="5" t="s">
        <v>40</v>
      </c>
      <c r="B9" s="13">
        <f>COUNTIFS('Full Matrix'!D:D,"*"&amp;A9&amp;"*",'Full Matrix'!C:C,"COVERED")</f>
        <v>2</v>
      </c>
      <c r="C9" s="14">
        <f>COUNTIFS('Full Matrix'!D:D,"*"&amp;A9&amp;"*",'Full Matrix'!C:C,"PARTIAL")</f>
        <v>1</v>
      </c>
      <c r="D9" s="15">
        <f>COUNTIFS('Full Matrix'!D:D,"*"&amp;A9&amp;"*",'Full Matrix'!C:C,"GAP")</f>
        <v>0</v>
      </c>
      <c r="E9" s="9">
        <f t="shared" si="0"/>
        <v>3</v>
      </c>
      <c r="F9" s="4">
        <f t="shared" si="1"/>
        <v>0.66666666666666663</v>
      </c>
    </row>
    <row r="10" spans="1:6" x14ac:dyDescent="0.2">
      <c r="A10" s="5" t="s">
        <v>44</v>
      </c>
      <c r="B10" s="13">
        <f>COUNTIFS('Full Matrix'!D:D,"*"&amp;A10&amp;"*",'Full Matrix'!C:C,"COVERED")</f>
        <v>1</v>
      </c>
      <c r="C10" s="14">
        <f>COUNTIFS('Full Matrix'!D:D,"*"&amp;A10&amp;"*",'Full Matrix'!C:C,"PARTIAL")</f>
        <v>0</v>
      </c>
      <c r="D10" s="15">
        <f>COUNTIFS('Full Matrix'!D:D,"*"&amp;A10&amp;"*",'Full Matrix'!C:C,"GAP")</f>
        <v>0</v>
      </c>
      <c r="E10" s="9">
        <f t="shared" si="0"/>
        <v>1</v>
      </c>
      <c r="F10" s="4">
        <f t="shared" si="1"/>
        <v>1</v>
      </c>
    </row>
    <row r="11" spans="1:6" x14ac:dyDescent="0.2">
      <c r="A11" s="5" t="s">
        <v>48</v>
      </c>
      <c r="B11" s="13">
        <f>COUNTIFS('Full Matrix'!D:D,"*"&amp;A11&amp;"*",'Full Matrix'!C:C,"COVERED")</f>
        <v>1</v>
      </c>
      <c r="C11" s="14">
        <f>COUNTIFS('Full Matrix'!D:D,"*"&amp;A11&amp;"*",'Full Matrix'!C:C,"PARTIAL")</f>
        <v>0</v>
      </c>
      <c r="D11" s="15">
        <f>COUNTIFS('Full Matrix'!D:D,"*"&amp;A11&amp;"*",'Full Matrix'!C:C,"GAP")</f>
        <v>0</v>
      </c>
      <c r="E11" s="9">
        <f t="shared" si="0"/>
        <v>1</v>
      </c>
      <c r="F11" s="4">
        <f t="shared" si="1"/>
        <v>1</v>
      </c>
    </row>
    <row r="12" spans="1:6" x14ac:dyDescent="0.2">
      <c r="A12" s="5" t="s">
        <v>274</v>
      </c>
      <c r="B12" s="13">
        <f>COUNTIFS('Full Matrix'!D:D,"*"&amp;A12&amp;"*",'Full Matrix'!C:C,"COVERED")</f>
        <v>2</v>
      </c>
      <c r="C12" s="14">
        <f>COUNTIFS('Full Matrix'!D:D,"*"&amp;A12&amp;"*",'Full Matrix'!C:C,"PARTIAL")</f>
        <v>3</v>
      </c>
      <c r="D12" s="15">
        <f>COUNTIFS('Full Matrix'!D:D,"*"&amp;A12&amp;"*",'Full Matrix'!C:C,"GAP")</f>
        <v>0</v>
      </c>
      <c r="E12" s="9">
        <f t="shared" si="0"/>
        <v>5</v>
      </c>
      <c r="F12" s="4">
        <f t="shared" si="1"/>
        <v>0.4</v>
      </c>
    </row>
    <row r="13" spans="1:6" x14ac:dyDescent="0.2">
      <c r="A13" s="5" t="s">
        <v>323</v>
      </c>
      <c r="B13" s="13">
        <f>COUNTIFS('Full Matrix'!D:D,"*"&amp;A13&amp;"*",'Full Matrix'!C:C,"COVERED")</f>
        <v>0</v>
      </c>
      <c r="C13" s="14">
        <f>COUNTIFS('Full Matrix'!D:D,"*"&amp;A13&amp;"*",'Full Matrix'!C:C,"PARTIAL")</f>
        <v>2</v>
      </c>
      <c r="D13" s="15">
        <f>COUNTIFS('Full Matrix'!D:D,"*"&amp;A13&amp;"*",'Full Matrix'!C:C,"GAP")</f>
        <v>0</v>
      </c>
      <c r="E13" s="9">
        <f t="shared" si="0"/>
        <v>2</v>
      </c>
      <c r="F13" s="4">
        <f t="shared" si="1"/>
        <v>0</v>
      </c>
    </row>
    <row r="14" spans="1:6" x14ac:dyDescent="0.2">
      <c r="A14" s="5" t="s">
        <v>62</v>
      </c>
      <c r="B14" s="13">
        <f>COUNTIFS('Full Matrix'!D:D,"*"&amp;A14&amp;"*",'Full Matrix'!C:C,"COVERED")</f>
        <v>12</v>
      </c>
      <c r="C14" s="14">
        <f>COUNTIFS('Full Matrix'!D:D,"*"&amp;A14&amp;"*",'Full Matrix'!C:C,"PARTIAL")</f>
        <v>2</v>
      </c>
      <c r="D14" s="15">
        <f>COUNTIFS('Full Matrix'!D:D,"*"&amp;A14&amp;"*",'Full Matrix'!C:C,"GAP")</f>
        <v>0</v>
      </c>
      <c r="E14" s="9">
        <f t="shared" si="0"/>
        <v>14</v>
      </c>
      <c r="F14" s="4">
        <f t="shared" si="1"/>
        <v>0.8571428571428571</v>
      </c>
    </row>
    <row r="15" spans="1:6" x14ac:dyDescent="0.2">
      <c r="A15" s="5" t="s">
        <v>254</v>
      </c>
      <c r="B15" s="13">
        <f>COUNTIFS('Full Matrix'!D:D,"*"&amp;A15&amp;"*",'Full Matrix'!C:C,"COVERED")</f>
        <v>5</v>
      </c>
      <c r="C15" s="14">
        <f>COUNTIFS('Full Matrix'!D:D,"*"&amp;A15&amp;"*",'Full Matrix'!C:C,"PARTIAL")</f>
        <v>0</v>
      </c>
      <c r="D15" s="15">
        <f>COUNTIFS('Full Matrix'!D:D,"*"&amp;A15&amp;"*",'Full Matrix'!C:C,"GAP")</f>
        <v>0</v>
      </c>
      <c r="E15" s="9">
        <f t="shared" si="0"/>
        <v>5</v>
      </c>
      <c r="F15" s="4">
        <f t="shared" si="1"/>
        <v>1</v>
      </c>
    </row>
    <row r="16" spans="1:6" x14ac:dyDescent="0.2">
      <c r="A16" s="5" t="s">
        <v>352</v>
      </c>
      <c r="B16" s="13">
        <f>COUNTIFS('Full Matrix'!D:D,"*"&amp;A16&amp;"*",'Full Matrix'!C:C,"COVERED")</f>
        <v>1</v>
      </c>
      <c r="C16" s="14">
        <f>COUNTIFS('Full Matrix'!D:D,"*"&amp;A16&amp;"*",'Full Matrix'!C:C,"PARTIAL")</f>
        <v>0</v>
      </c>
      <c r="D16" s="15">
        <f>COUNTIFS('Full Matrix'!D:D,"*"&amp;A16&amp;"*",'Full Matrix'!C:C,"GAP")</f>
        <v>0</v>
      </c>
      <c r="E16" s="9">
        <f t="shared" si="0"/>
        <v>1</v>
      </c>
      <c r="F16" s="4">
        <f t="shared" si="1"/>
        <v>1</v>
      </c>
    </row>
    <row r="17" spans="1:6" x14ac:dyDescent="0.2">
      <c r="A17" s="5" t="s">
        <v>361</v>
      </c>
      <c r="B17" s="13">
        <f>COUNTIFS('Full Matrix'!D:D,"*"&amp;A17&amp;"*",'Full Matrix'!C:C,"COVERED")</f>
        <v>3</v>
      </c>
      <c r="C17" s="14">
        <f>COUNTIFS('Full Matrix'!D:D,"*"&amp;A17&amp;"*",'Full Matrix'!C:C,"PARTIAL")</f>
        <v>0</v>
      </c>
      <c r="D17" s="15">
        <f>COUNTIFS('Full Matrix'!D:D,"*"&amp;A17&amp;"*",'Full Matrix'!C:C,"GAP")</f>
        <v>0</v>
      </c>
      <c r="E17" s="9">
        <f t="shared" si="0"/>
        <v>3</v>
      </c>
      <c r="F17" s="4">
        <f t="shared" si="1"/>
        <v>1</v>
      </c>
    </row>
    <row r="18" spans="1:6" x14ac:dyDescent="0.2">
      <c r="A18" s="5" t="s">
        <v>371</v>
      </c>
      <c r="B18" s="13">
        <f>COUNTIFS('Full Matrix'!D:D,"*"&amp;A18&amp;"*",'Full Matrix'!C:C,"COVERED")</f>
        <v>1</v>
      </c>
      <c r="C18" s="14">
        <f>COUNTIFS('Full Matrix'!D:D,"*"&amp;A18&amp;"*",'Full Matrix'!C:C,"PARTIAL")</f>
        <v>1</v>
      </c>
      <c r="D18" s="15">
        <f>COUNTIFS('Full Matrix'!D:D,"*"&amp;A18&amp;"*",'Full Matrix'!C:C,"GAP")</f>
        <v>0</v>
      </c>
      <c r="E18" s="9">
        <f t="shared" si="0"/>
        <v>2</v>
      </c>
      <c r="F18" s="4">
        <f t="shared" si="1"/>
        <v>0.5</v>
      </c>
    </row>
    <row r="19" spans="1:6" x14ac:dyDescent="0.2">
      <c r="A19" s="5" t="s">
        <v>82</v>
      </c>
      <c r="B19" s="13">
        <f>COUNTIFS('Full Matrix'!D:D,"*"&amp;A19&amp;"*",'Full Matrix'!C:C,"COVERED")</f>
        <v>2</v>
      </c>
      <c r="C19" s="14">
        <f>COUNTIFS('Full Matrix'!D:D,"*"&amp;A19&amp;"*",'Full Matrix'!C:C,"PARTIAL")</f>
        <v>0</v>
      </c>
      <c r="D19" s="15">
        <f>COUNTIFS('Full Matrix'!D:D,"*"&amp;A19&amp;"*",'Full Matrix'!C:C,"GAP")</f>
        <v>0</v>
      </c>
      <c r="E19" s="9">
        <f t="shared" si="0"/>
        <v>2</v>
      </c>
      <c r="F19" s="4">
        <f t="shared" si="1"/>
        <v>1</v>
      </c>
    </row>
    <row r="20" spans="1:6" x14ac:dyDescent="0.2">
      <c r="A20" s="5" t="s">
        <v>93</v>
      </c>
      <c r="B20" s="13">
        <f>COUNTIFS('Full Matrix'!D:D,"*"&amp;A20&amp;"*",'Full Matrix'!C:C,"COVERED")</f>
        <v>2</v>
      </c>
      <c r="C20" s="14">
        <f>COUNTIFS('Full Matrix'!D:D,"*"&amp;A20&amp;"*",'Full Matrix'!C:C,"PARTIAL")</f>
        <v>0</v>
      </c>
      <c r="D20" s="15">
        <f>COUNTIFS('Full Matrix'!D:D,"*"&amp;A20&amp;"*",'Full Matrix'!C:C,"GAP")</f>
        <v>0</v>
      </c>
      <c r="E20" s="9">
        <f t="shared" si="0"/>
        <v>2</v>
      </c>
      <c r="F20" s="4">
        <f t="shared" si="1"/>
        <v>1</v>
      </c>
    </row>
    <row r="21" spans="1:6" x14ac:dyDescent="0.2">
      <c r="A21" s="5" t="s">
        <v>87</v>
      </c>
      <c r="B21" s="13">
        <f>COUNTIFS('Full Matrix'!D:D,"*"&amp;A21&amp;"*",'Full Matrix'!C:C,"COVERED")</f>
        <v>2</v>
      </c>
      <c r="C21" s="14">
        <f>COUNTIFS('Full Matrix'!D:D,"*"&amp;A21&amp;"*",'Full Matrix'!C:C,"PARTIAL")</f>
        <v>1</v>
      </c>
      <c r="D21" s="15">
        <f>COUNTIFS('Full Matrix'!D:D,"*"&amp;A21&amp;"*",'Full Matrix'!C:C,"GAP")</f>
        <v>0</v>
      </c>
      <c r="E21" s="9">
        <f t="shared" si="0"/>
        <v>3</v>
      </c>
      <c r="F21" s="4">
        <f t="shared" si="1"/>
        <v>0.66666666666666663</v>
      </c>
    </row>
    <row r="22" spans="1:6" x14ac:dyDescent="0.2">
      <c r="A22" s="5" t="s">
        <v>78</v>
      </c>
      <c r="B22" s="13">
        <f>COUNTIFS('Full Matrix'!D:D,"*"&amp;A22&amp;"*",'Full Matrix'!C:C,"COVERED")</f>
        <v>2</v>
      </c>
      <c r="C22" s="14">
        <f>COUNTIFS('Full Matrix'!D:D,"*"&amp;A22&amp;"*",'Full Matrix'!C:C,"PARTIAL")</f>
        <v>3</v>
      </c>
      <c r="D22" s="15">
        <f>COUNTIFS('Full Matrix'!D:D,"*"&amp;A22&amp;"*",'Full Matrix'!C:C,"GAP")</f>
        <v>0</v>
      </c>
      <c r="E22" s="9">
        <f t="shared" si="0"/>
        <v>5</v>
      </c>
      <c r="F22" s="4">
        <f t="shared" si="1"/>
        <v>0.4</v>
      </c>
    </row>
    <row r="23" spans="1:6" x14ac:dyDescent="0.2">
      <c r="A23" s="5" t="s">
        <v>510</v>
      </c>
      <c r="B23" s="13">
        <f>COUNTIFS('Full Matrix'!D:D,"*"&amp;A23&amp;"*",'Full Matrix'!C:C,"COVERED")</f>
        <v>1</v>
      </c>
      <c r="C23" s="14">
        <f>COUNTIFS('Full Matrix'!D:D,"*"&amp;A23&amp;"*",'Full Matrix'!C:C,"PARTIAL")</f>
        <v>0</v>
      </c>
      <c r="D23" s="15">
        <f>COUNTIFS('Full Matrix'!D:D,"*"&amp;A23&amp;"*",'Full Matrix'!C:C,"GAP")</f>
        <v>0</v>
      </c>
      <c r="E23" s="9">
        <f t="shared" si="0"/>
        <v>1</v>
      </c>
      <c r="F23" s="4">
        <f t="shared" si="1"/>
        <v>1</v>
      </c>
    </row>
    <row r="24" spans="1:6" x14ac:dyDescent="0.2">
      <c r="A24" s="5" t="s">
        <v>58</v>
      </c>
      <c r="B24" s="13">
        <f>COUNTIFS('Full Matrix'!D:D,"*"&amp;A24&amp;"*",'Full Matrix'!C:C,"COVERED")</f>
        <v>1</v>
      </c>
      <c r="C24" s="14">
        <f>COUNTIFS('Full Matrix'!D:D,"*"&amp;A24&amp;"*",'Full Matrix'!C:C,"PARTIAL")</f>
        <v>0</v>
      </c>
      <c r="D24" s="15">
        <f>COUNTIFS('Full Matrix'!D:D,"*"&amp;A24&amp;"*",'Full Matrix'!C:C,"GAP")</f>
        <v>0</v>
      </c>
      <c r="E24" s="9">
        <f t="shared" si="0"/>
        <v>1</v>
      </c>
      <c r="F24" s="4">
        <f t="shared" si="1"/>
        <v>1</v>
      </c>
    </row>
    <row r="25" spans="1:6" x14ac:dyDescent="0.2">
      <c r="A25" s="5" t="s">
        <v>164</v>
      </c>
      <c r="B25" s="13">
        <f>COUNTIFS('Full Matrix'!D:D,"*"&amp;A25&amp;"*",'Full Matrix'!C:C,"COVERED")</f>
        <v>1</v>
      </c>
      <c r="C25" s="14">
        <f>COUNTIFS('Full Matrix'!D:D,"*"&amp;A25&amp;"*",'Full Matrix'!C:C,"PARTIAL")</f>
        <v>0</v>
      </c>
      <c r="D25" s="15">
        <f>COUNTIFS('Full Matrix'!D:D,"*"&amp;A25&amp;"*",'Full Matrix'!C:C,"GAP")</f>
        <v>0</v>
      </c>
      <c r="E25" s="9">
        <f t="shared" si="0"/>
        <v>1</v>
      </c>
      <c r="F25" s="4">
        <f t="shared" si="1"/>
        <v>1</v>
      </c>
    </row>
    <row r="26" spans="1:6" x14ac:dyDescent="0.2">
      <c r="A26" s="5" t="s">
        <v>74</v>
      </c>
      <c r="B26" s="13">
        <f>COUNTIFS('Full Matrix'!D:D,"*"&amp;A26&amp;"*",'Full Matrix'!C:C,"COVERED")</f>
        <v>1</v>
      </c>
      <c r="C26" s="14">
        <f>COUNTIFS('Full Matrix'!D:D,"*"&amp;A26&amp;"*",'Full Matrix'!C:C,"PARTIAL")</f>
        <v>0</v>
      </c>
      <c r="D26" s="15">
        <f>COUNTIFS('Full Matrix'!D:D,"*"&amp;A26&amp;"*",'Full Matrix'!C:C,"GAP")</f>
        <v>0</v>
      </c>
      <c r="E26" s="9">
        <f t="shared" si="0"/>
        <v>1</v>
      </c>
      <c r="F26" s="4">
        <f t="shared" si="1"/>
        <v>1</v>
      </c>
    </row>
    <row r="27" spans="1:6" x14ac:dyDescent="0.2">
      <c r="A27" s="5" t="s">
        <v>430</v>
      </c>
      <c r="B27" s="13">
        <f>COUNTIFS('Full Matrix'!D:D,"*"&amp;A27&amp;"*",'Full Matrix'!C:C,"COVERED")</f>
        <v>1</v>
      </c>
      <c r="C27" s="14">
        <f>COUNTIFS('Full Matrix'!D:D,"*"&amp;A27&amp;"*",'Full Matrix'!C:C,"PARTIAL")</f>
        <v>0</v>
      </c>
      <c r="D27" s="15">
        <f>COUNTIFS('Full Matrix'!D:D,"*"&amp;A27&amp;"*",'Full Matrix'!C:C,"GAP")</f>
        <v>0</v>
      </c>
      <c r="E27" s="9">
        <f t="shared" si="0"/>
        <v>1</v>
      </c>
      <c r="F27" s="4">
        <f t="shared" si="1"/>
        <v>1</v>
      </c>
    </row>
    <row r="28" spans="1:6" x14ac:dyDescent="0.2">
      <c r="A28" s="5" t="s">
        <v>345</v>
      </c>
      <c r="B28" s="13">
        <f>COUNTIFS('Full Matrix'!D:D,"*"&amp;A28&amp;"*",'Full Matrix'!C:C,"COVERED")</f>
        <v>2</v>
      </c>
      <c r="C28" s="14">
        <f>COUNTIFS('Full Matrix'!D:D,"*"&amp;A28&amp;"*",'Full Matrix'!C:C,"PARTIAL")</f>
        <v>3</v>
      </c>
      <c r="D28" s="15">
        <f>COUNTIFS('Full Matrix'!D:D,"*"&amp;A28&amp;"*",'Full Matrix'!C:C,"GAP")</f>
        <v>0</v>
      </c>
      <c r="E28" s="9">
        <f t="shared" si="0"/>
        <v>5</v>
      </c>
      <c r="F28" s="4">
        <f t="shared" si="1"/>
        <v>0.4</v>
      </c>
    </row>
    <row r="29" spans="1:6" x14ac:dyDescent="0.2">
      <c r="A29" s="5" t="s">
        <v>376</v>
      </c>
      <c r="B29" s="13">
        <f>COUNTIFS('Full Matrix'!D:D,"*"&amp;A29&amp;"*",'Full Matrix'!C:C,"COVERED")</f>
        <v>6</v>
      </c>
      <c r="C29" s="14">
        <f>COUNTIFS('Full Matrix'!D:D,"*"&amp;A29&amp;"*",'Full Matrix'!C:C,"PARTIAL")</f>
        <v>0</v>
      </c>
      <c r="D29" s="15">
        <f>COUNTIFS('Full Matrix'!D:D,"*"&amp;A29&amp;"*",'Full Matrix'!C:C,"GAP")</f>
        <v>0</v>
      </c>
      <c r="E29" s="9">
        <f t="shared" si="0"/>
        <v>6</v>
      </c>
      <c r="F29" s="4">
        <f t="shared" si="1"/>
        <v>1</v>
      </c>
    </row>
    <row r="30" spans="1:6" x14ac:dyDescent="0.2">
      <c r="A30" s="5" t="s">
        <v>406</v>
      </c>
      <c r="B30" s="13">
        <f>COUNTIFS('Full Matrix'!D:D,"*"&amp;A30&amp;"*",'Full Matrix'!C:C,"COVERED")</f>
        <v>3</v>
      </c>
      <c r="C30" s="14">
        <f>COUNTIFS('Full Matrix'!D:D,"*"&amp;A30&amp;"*",'Full Matrix'!C:C,"PARTIAL")</f>
        <v>0</v>
      </c>
      <c r="D30" s="15">
        <f>COUNTIFS('Full Matrix'!D:D,"*"&amp;A30&amp;"*",'Full Matrix'!C:C,"GAP")</f>
        <v>0</v>
      </c>
      <c r="E30" s="9">
        <f t="shared" si="0"/>
        <v>3</v>
      </c>
      <c r="F30" s="4">
        <f t="shared" si="1"/>
        <v>1</v>
      </c>
    </row>
    <row r="31" spans="1:6" x14ac:dyDescent="0.2">
      <c r="A31" s="5" t="s">
        <v>417</v>
      </c>
      <c r="B31" s="13">
        <f>COUNTIFS('Full Matrix'!D:D,"*"&amp;A31&amp;"*",'Full Matrix'!C:C,"COVERED")</f>
        <v>1</v>
      </c>
      <c r="C31" s="14">
        <f>COUNTIFS('Full Matrix'!D:D,"*"&amp;A31&amp;"*",'Full Matrix'!C:C,"PARTIAL")</f>
        <v>0</v>
      </c>
      <c r="D31" s="15">
        <f>COUNTIFS('Full Matrix'!D:D,"*"&amp;A31&amp;"*",'Full Matrix'!C:C,"GAP")</f>
        <v>0</v>
      </c>
      <c r="E31" s="9">
        <f t="shared" si="0"/>
        <v>1</v>
      </c>
      <c r="F31" s="4">
        <f t="shared" si="1"/>
        <v>1</v>
      </c>
    </row>
    <row r="32" spans="1:6" x14ac:dyDescent="0.2">
      <c r="A32" s="5" t="s">
        <v>398</v>
      </c>
      <c r="B32" s="13">
        <f>COUNTIFS('Full Matrix'!D:D,"*"&amp;A32&amp;"*",'Full Matrix'!C:C,"COVERED")</f>
        <v>2</v>
      </c>
      <c r="C32" s="14">
        <f>COUNTIFS('Full Matrix'!D:D,"*"&amp;A32&amp;"*",'Full Matrix'!C:C,"PARTIAL")</f>
        <v>0</v>
      </c>
      <c r="D32" s="15">
        <f>COUNTIFS('Full Matrix'!D:D,"*"&amp;A32&amp;"*",'Full Matrix'!C:C,"GAP")</f>
        <v>0</v>
      </c>
      <c r="E32" s="9">
        <f t="shared" si="0"/>
        <v>2</v>
      </c>
      <c r="F32" s="4">
        <f t="shared" si="1"/>
        <v>1</v>
      </c>
    </row>
    <row r="33" spans="1:6" x14ac:dyDescent="0.2">
      <c r="A33" s="8" t="s">
        <v>511</v>
      </c>
      <c r="B33" s="9">
        <f>SUM(B4:B32)</f>
        <v>92</v>
      </c>
      <c r="C33" s="9">
        <f>SUM(C4:C32)</f>
        <v>24</v>
      </c>
      <c r="D33" s="9">
        <f>SUM(D4:D32)</f>
        <v>1</v>
      </c>
      <c r="E33" s="9">
        <f>SUM(E4:E32)</f>
        <v>117</v>
      </c>
      <c r="F33" s="10">
        <f t="shared" si="1"/>
        <v>0.78632478632478631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showGridLines="0" workbookViewId="0">
      <pane ySplit="3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28" customWidth="1"/>
    <col min="4" max="4" width="70" customWidth="1"/>
  </cols>
  <sheetData>
    <row r="1" spans="1:4" ht="20" x14ac:dyDescent="0.2">
      <c r="A1" s="61" t="s">
        <v>512</v>
      </c>
      <c r="B1" s="53"/>
      <c r="C1" s="53"/>
      <c r="D1" s="53"/>
    </row>
    <row r="3" spans="1:4" x14ac:dyDescent="0.2">
      <c r="A3" s="1" t="s">
        <v>513</v>
      </c>
      <c r="B3" s="1" t="s">
        <v>514</v>
      </c>
      <c r="C3" s="1" t="s">
        <v>515</v>
      </c>
      <c r="D3" s="1" t="s">
        <v>516</v>
      </c>
    </row>
    <row r="4" spans="1:4" ht="28" customHeight="1" x14ac:dyDescent="0.2">
      <c r="A4" s="16" t="s">
        <v>517</v>
      </c>
      <c r="B4" s="5" t="s">
        <v>518</v>
      </c>
      <c r="C4" s="5" t="s">
        <v>519</v>
      </c>
      <c r="D4" s="5" t="s">
        <v>520</v>
      </c>
    </row>
    <row r="5" spans="1:4" ht="28" customHeight="1" x14ac:dyDescent="0.2">
      <c r="A5" s="16" t="s">
        <v>517</v>
      </c>
      <c r="B5" s="5" t="s">
        <v>518</v>
      </c>
      <c r="C5" s="5" t="s">
        <v>519</v>
      </c>
      <c r="D5" s="5" t="s">
        <v>521</v>
      </c>
    </row>
    <row r="6" spans="1:4" ht="28" customHeight="1" x14ac:dyDescent="0.2">
      <c r="A6" s="16" t="s">
        <v>517</v>
      </c>
      <c r="B6" s="5" t="s">
        <v>518</v>
      </c>
      <c r="C6" s="5" t="s">
        <v>519</v>
      </c>
      <c r="D6" s="5" t="s">
        <v>522</v>
      </c>
    </row>
    <row r="7" spans="1:4" ht="28" customHeight="1" x14ac:dyDescent="0.2">
      <c r="A7" s="16" t="s">
        <v>517</v>
      </c>
      <c r="B7" s="5" t="s">
        <v>518</v>
      </c>
      <c r="C7" s="5" t="s">
        <v>519</v>
      </c>
      <c r="D7" s="5" t="s">
        <v>523</v>
      </c>
    </row>
    <row r="8" spans="1:4" ht="28" customHeight="1" x14ac:dyDescent="0.2">
      <c r="A8" s="16" t="s">
        <v>517</v>
      </c>
      <c r="B8" s="5" t="s">
        <v>518</v>
      </c>
      <c r="C8" s="5" t="s">
        <v>519</v>
      </c>
      <c r="D8" s="5" t="s">
        <v>524</v>
      </c>
    </row>
    <row r="9" spans="1:4" ht="28" customHeight="1" x14ac:dyDescent="0.2">
      <c r="A9" s="17" t="s">
        <v>525</v>
      </c>
      <c r="B9" s="5" t="s">
        <v>526</v>
      </c>
      <c r="C9" s="5" t="s">
        <v>527</v>
      </c>
      <c r="D9" s="5" t="s">
        <v>528</v>
      </c>
    </row>
    <row r="10" spans="1:4" ht="28" customHeight="1" x14ac:dyDescent="0.2">
      <c r="A10" s="17" t="s">
        <v>525</v>
      </c>
      <c r="B10" s="5" t="s">
        <v>526</v>
      </c>
      <c r="C10" s="5" t="s">
        <v>527</v>
      </c>
      <c r="D10" s="5" t="s">
        <v>529</v>
      </c>
    </row>
    <row r="11" spans="1:4" ht="28" customHeight="1" x14ac:dyDescent="0.2">
      <c r="A11" s="17" t="s">
        <v>525</v>
      </c>
      <c r="B11" s="5" t="s">
        <v>526</v>
      </c>
      <c r="C11" s="5" t="s">
        <v>527</v>
      </c>
      <c r="D11" s="5" t="s">
        <v>530</v>
      </c>
    </row>
    <row r="12" spans="1:4" ht="28" customHeight="1" x14ac:dyDescent="0.2">
      <c r="A12" s="17" t="s">
        <v>525</v>
      </c>
      <c r="B12" s="5" t="s">
        <v>526</v>
      </c>
      <c r="C12" s="5" t="s">
        <v>527</v>
      </c>
      <c r="D12" s="5" t="s">
        <v>531</v>
      </c>
    </row>
    <row r="13" spans="1:4" ht="28" customHeight="1" x14ac:dyDescent="0.2">
      <c r="A13" s="17" t="s">
        <v>525</v>
      </c>
      <c r="B13" s="5" t="s">
        <v>526</v>
      </c>
      <c r="C13" s="5" t="s">
        <v>527</v>
      </c>
      <c r="D13" s="5" t="s">
        <v>532</v>
      </c>
    </row>
    <row r="14" spans="1:4" ht="28" customHeight="1" x14ac:dyDescent="0.2">
      <c r="A14" s="17" t="s">
        <v>525</v>
      </c>
      <c r="B14" s="5" t="s">
        <v>526</v>
      </c>
      <c r="C14" s="5" t="s">
        <v>527</v>
      </c>
      <c r="D14" s="5" t="s">
        <v>533</v>
      </c>
    </row>
    <row r="15" spans="1:4" ht="28" customHeight="1" x14ac:dyDescent="0.2">
      <c r="A15" s="18" t="s">
        <v>534</v>
      </c>
      <c r="B15" s="5" t="s">
        <v>535</v>
      </c>
      <c r="C15" s="5" t="s">
        <v>536</v>
      </c>
      <c r="D15" s="5" t="s">
        <v>537</v>
      </c>
    </row>
    <row r="16" spans="1:4" ht="28" customHeight="1" x14ac:dyDescent="0.2">
      <c r="A16" s="18" t="s">
        <v>534</v>
      </c>
      <c r="B16" s="5" t="s">
        <v>535</v>
      </c>
      <c r="C16" s="5" t="s">
        <v>536</v>
      </c>
      <c r="D16" s="5" t="s">
        <v>538</v>
      </c>
    </row>
    <row r="17" spans="1:4" ht="28" customHeight="1" x14ac:dyDescent="0.2">
      <c r="A17" s="18" t="s">
        <v>534</v>
      </c>
      <c r="B17" s="5" t="s">
        <v>535</v>
      </c>
      <c r="C17" s="5" t="s">
        <v>536</v>
      </c>
      <c r="D17" s="5" t="s">
        <v>539</v>
      </c>
    </row>
    <row r="18" spans="1:4" ht="28" customHeight="1" x14ac:dyDescent="0.2">
      <c r="A18" s="18" t="s">
        <v>534</v>
      </c>
      <c r="B18" s="5" t="s">
        <v>535</v>
      </c>
      <c r="C18" s="5" t="s">
        <v>536</v>
      </c>
      <c r="D18" s="5" t="s">
        <v>540</v>
      </c>
    </row>
    <row r="19" spans="1:4" ht="28" customHeight="1" x14ac:dyDescent="0.2">
      <c r="A19" s="19" t="s">
        <v>541</v>
      </c>
      <c r="B19" s="5" t="s">
        <v>542</v>
      </c>
      <c r="C19" s="5" t="s">
        <v>543</v>
      </c>
      <c r="D19" s="5" t="s">
        <v>544</v>
      </c>
    </row>
    <row r="20" spans="1:4" ht="28" customHeight="1" x14ac:dyDescent="0.2">
      <c r="A20" s="19" t="s">
        <v>541</v>
      </c>
      <c r="B20" s="5" t="s">
        <v>542</v>
      </c>
      <c r="C20" s="5" t="s">
        <v>543</v>
      </c>
      <c r="D20" s="5" t="s">
        <v>545</v>
      </c>
    </row>
    <row r="21" spans="1:4" ht="28" customHeight="1" x14ac:dyDescent="0.2">
      <c r="A21" s="19" t="s">
        <v>541</v>
      </c>
      <c r="B21" s="5" t="s">
        <v>542</v>
      </c>
      <c r="C21" s="5" t="s">
        <v>543</v>
      </c>
      <c r="D21" s="5" t="s">
        <v>546</v>
      </c>
    </row>
    <row r="22" spans="1:4" ht="28" customHeight="1" x14ac:dyDescent="0.2">
      <c r="A22" s="19" t="s">
        <v>541</v>
      </c>
      <c r="B22" s="5" t="s">
        <v>542</v>
      </c>
      <c r="C22" s="5" t="s">
        <v>543</v>
      </c>
      <c r="D22" s="5" t="s">
        <v>547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0"/>
  <sheetViews>
    <sheetView showGridLines="0" workbookViewId="0">
      <pane ySplit="13" topLeftCell="A127" activePane="bottomLeft" state="frozen"/>
      <selection pane="bottomLeft" sqref="A1:E1"/>
    </sheetView>
  </sheetViews>
  <sheetFormatPr baseColWidth="10" defaultColWidth="8.83203125" defaultRowHeight="15" x14ac:dyDescent="0.2"/>
  <cols>
    <col min="1" max="1" width="20" customWidth="1"/>
    <col min="2" max="2" width="62" customWidth="1"/>
    <col min="3" max="3" width="16" customWidth="1"/>
    <col min="4" max="4" width="12" customWidth="1"/>
    <col min="5" max="5" width="24" customWidth="1"/>
  </cols>
  <sheetData>
    <row r="1" spans="1:5" ht="20" x14ac:dyDescent="0.2">
      <c r="A1" s="61" t="s">
        <v>548</v>
      </c>
      <c r="B1" s="53"/>
      <c r="C1" s="53"/>
      <c r="D1" s="53"/>
      <c r="E1" s="53"/>
    </row>
    <row r="2" spans="1:5" ht="34" customHeight="1" x14ac:dyDescent="0.2">
      <c r="A2" s="62" t="s">
        <v>549</v>
      </c>
      <c r="B2" s="53"/>
      <c r="C2" s="53"/>
      <c r="D2" s="53"/>
      <c r="E2" s="53"/>
    </row>
    <row r="4" spans="1:5" ht="17" x14ac:dyDescent="0.2">
      <c r="A4" s="59" t="s">
        <v>550</v>
      </c>
      <c r="B4" s="53"/>
      <c r="C4" s="53"/>
      <c r="D4" s="53"/>
      <c r="E4" s="53"/>
    </row>
    <row r="6" spans="1:5" ht="30" x14ac:dyDescent="0.2">
      <c r="A6" s="20" t="s">
        <v>551</v>
      </c>
      <c r="B6" s="21">
        <v>100</v>
      </c>
      <c r="C6" s="22" t="s">
        <v>552</v>
      </c>
    </row>
    <row r="7" spans="1:5" ht="30" x14ac:dyDescent="0.2">
      <c r="A7" s="23" t="s">
        <v>553</v>
      </c>
      <c r="B7" s="24">
        <v>100</v>
      </c>
      <c r="C7" s="25" t="s">
        <v>554</v>
      </c>
    </row>
    <row r="8" spans="1:5" ht="30" x14ac:dyDescent="0.2">
      <c r="A8" s="26" t="s">
        <v>555</v>
      </c>
      <c r="B8" s="27">
        <v>77</v>
      </c>
      <c r="C8" s="28" t="s">
        <v>556</v>
      </c>
    </row>
    <row r="9" spans="1:5" ht="30" x14ac:dyDescent="0.2">
      <c r="A9" s="29" t="s">
        <v>557</v>
      </c>
      <c r="B9" s="30">
        <v>177</v>
      </c>
      <c r="C9" s="31" t="s">
        <v>558</v>
      </c>
    </row>
    <row r="11" spans="1:5" ht="17" x14ac:dyDescent="0.2">
      <c r="A11" s="59" t="s">
        <v>559</v>
      </c>
      <c r="B11" s="53"/>
      <c r="C11" s="53"/>
      <c r="D11" s="53"/>
      <c r="E11" s="53"/>
    </row>
    <row r="13" spans="1:5" ht="30" x14ac:dyDescent="0.2">
      <c r="A13" s="1" t="s">
        <v>507</v>
      </c>
      <c r="B13" s="1" t="s">
        <v>560</v>
      </c>
      <c r="C13" s="1" t="s">
        <v>561</v>
      </c>
      <c r="D13" s="1" t="s">
        <v>4</v>
      </c>
      <c r="E13" s="1" t="s">
        <v>562</v>
      </c>
    </row>
    <row r="14" spans="1:5" x14ac:dyDescent="0.2">
      <c r="A14" s="5" t="s">
        <v>105</v>
      </c>
      <c r="B14" s="32" t="s">
        <v>563</v>
      </c>
      <c r="C14" s="33" t="s">
        <v>564</v>
      </c>
      <c r="D14" s="34" t="s">
        <v>565</v>
      </c>
      <c r="E14" s="35" t="s">
        <v>566</v>
      </c>
    </row>
    <row r="15" spans="1:5" x14ac:dyDescent="0.2">
      <c r="A15" s="5" t="s">
        <v>105</v>
      </c>
      <c r="B15" s="32" t="s">
        <v>567</v>
      </c>
      <c r="C15" s="33" t="s">
        <v>564</v>
      </c>
      <c r="D15" s="34" t="s">
        <v>565</v>
      </c>
      <c r="E15" s="35" t="s">
        <v>566</v>
      </c>
    </row>
    <row r="16" spans="1:5" x14ac:dyDescent="0.2">
      <c r="A16" s="5" t="s">
        <v>105</v>
      </c>
      <c r="B16" s="32" t="s">
        <v>568</v>
      </c>
      <c r="C16" s="33" t="s">
        <v>564</v>
      </c>
      <c r="D16" s="34" t="s">
        <v>565</v>
      </c>
      <c r="E16" s="35" t="s">
        <v>566</v>
      </c>
    </row>
    <row r="17" spans="1:5" x14ac:dyDescent="0.2">
      <c r="A17" s="5" t="s">
        <v>105</v>
      </c>
      <c r="B17" s="32" t="s">
        <v>569</v>
      </c>
      <c r="C17" s="33" t="s">
        <v>564</v>
      </c>
      <c r="D17" s="34" t="s">
        <v>565</v>
      </c>
      <c r="E17" s="35" t="s">
        <v>566</v>
      </c>
    </row>
    <row r="18" spans="1:5" x14ac:dyDescent="0.2">
      <c r="A18" s="5" t="s">
        <v>105</v>
      </c>
      <c r="B18" s="32" t="s">
        <v>570</v>
      </c>
      <c r="C18" s="33" t="s">
        <v>564</v>
      </c>
      <c r="D18" s="34" t="s">
        <v>565</v>
      </c>
      <c r="E18" s="35" t="s">
        <v>566</v>
      </c>
    </row>
    <row r="19" spans="1:5" x14ac:dyDescent="0.2">
      <c r="A19" s="5" t="s">
        <v>105</v>
      </c>
      <c r="B19" s="32" t="s">
        <v>571</v>
      </c>
      <c r="C19" s="33" t="s">
        <v>564</v>
      </c>
      <c r="D19" s="34" t="s">
        <v>565</v>
      </c>
      <c r="E19" s="35" t="s">
        <v>566</v>
      </c>
    </row>
    <row r="20" spans="1:5" x14ac:dyDescent="0.2">
      <c r="A20" s="5" t="s">
        <v>105</v>
      </c>
      <c r="B20" s="32" t="s">
        <v>572</v>
      </c>
      <c r="C20" s="33" t="s">
        <v>564</v>
      </c>
      <c r="D20" s="34" t="s">
        <v>565</v>
      </c>
      <c r="E20" s="35" t="s">
        <v>566</v>
      </c>
    </row>
    <row r="21" spans="1:5" x14ac:dyDescent="0.2">
      <c r="A21" s="5" t="s">
        <v>105</v>
      </c>
      <c r="B21" s="32" t="s">
        <v>573</v>
      </c>
      <c r="C21" s="36" t="s">
        <v>574</v>
      </c>
      <c r="D21" s="34" t="s">
        <v>565</v>
      </c>
      <c r="E21" s="37" t="s">
        <v>575</v>
      </c>
    </row>
    <row r="22" spans="1:5" x14ac:dyDescent="0.2">
      <c r="A22" s="5" t="s">
        <v>105</v>
      </c>
      <c r="B22" s="32" t="s">
        <v>576</v>
      </c>
      <c r="C22" s="36" t="s">
        <v>574</v>
      </c>
      <c r="D22" s="34" t="s">
        <v>565</v>
      </c>
      <c r="E22" s="37" t="s">
        <v>575</v>
      </c>
    </row>
    <row r="23" spans="1:5" x14ac:dyDescent="0.2">
      <c r="A23" s="5" t="s">
        <v>105</v>
      </c>
      <c r="B23" s="32" t="s">
        <v>577</v>
      </c>
      <c r="C23" s="33" t="s">
        <v>564</v>
      </c>
      <c r="D23" s="34" t="s">
        <v>565</v>
      </c>
      <c r="E23" s="35" t="s">
        <v>566</v>
      </c>
    </row>
    <row r="24" spans="1:5" x14ac:dyDescent="0.2">
      <c r="A24" s="5" t="s">
        <v>105</v>
      </c>
      <c r="B24" s="32" t="s">
        <v>578</v>
      </c>
      <c r="C24" s="33" t="s">
        <v>564</v>
      </c>
      <c r="D24" s="34" t="s">
        <v>565</v>
      </c>
      <c r="E24" s="35" t="s">
        <v>566</v>
      </c>
    </row>
    <row r="25" spans="1:5" x14ac:dyDescent="0.2">
      <c r="A25" s="5" t="s">
        <v>105</v>
      </c>
      <c r="B25" s="32" t="s">
        <v>579</v>
      </c>
      <c r="C25" s="33" t="s">
        <v>564</v>
      </c>
      <c r="D25" s="34" t="s">
        <v>565</v>
      </c>
      <c r="E25" s="35" t="s">
        <v>566</v>
      </c>
    </row>
    <row r="26" spans="1:5" x14ac:dyDescent="0.2">
      <c r="A26" s="5" t="s">
        <v>105</v>
      </c>
      <c r="B26" s="32" t="s">
        <v>580</v>
      </c>
      <c r="C26" s="33" t="s">
        <v>564</v>
      </c>
      <c r="D26" s="34" t="s">
        <v>565</v>
      </c>
      <c r="E26" s="35" t="s">
        <v>566</v>
      </c>
    </row>
    <row r="27" spans="1:5" x14ac:dyDescent="0.2">
      <c r="A27" s="5" t="s">
        <v>105</v>
      </c>
      <c r="B27" s="32" t="s">
        <v>581</v>
      </c>
      <c r="C27" s="33" t="s">
        <v>564</v>
      </c>
      <c r="D27" s="34" t="s">
        <v>565</v>
      </c>
      <c r="E27" s="35" t="s">
        <v>566</v>
      </c>
    </row>
    <row r="28" spans="1:5" x14ac:dyDescent="0.2">
      <c r="A28" s="5" t="s">
        <v>105</v>
      </c>
      <c r="B28" s="32" t="s">
        <v>582</v>
      </c>
      <c r="C28" s="33" t="s">
        <v>564</v>
      </c>
      <c r="D28" s="34" t="s">
        <v>565</v>
      </c>
      <c r="E28" s="35" t="s">
        <v>566</v>
      </c>
    </row>
    <row r="29" spans="1:5" x14ac:dyDescent="0.2">
      <c r="A29" s="5" t="s">
        <v>105</v>
      </c>
      <c r="B29" s="32" t="s">
        <v>583</v>
      </c>
      <c r="C29" s="33" t="s">
        <v>564</v>
      </c>
      <c r="D29" s="34" t="s">
        <v>565</v>
      </c>
      <c r="E29" s="35" t="s">
        <v>566</v>
      </c>
    </row>
    <row r="30" spans="1:5" x14ac:dyDescent="0.2">
      <c r="A30" s="5" t="s">
        <v>105</v>
      </c>
      <c r="B30" s="32" t="s">
        <v>584</v>
      </c>
      <c r="C30" s="33" t="s">
        <v>564</v>
      </c>
      <c r="D30" s="34" t="s">
        <v>565</v>
      </c>
      <c r="E30" s="35" t="s">
        <v>566</v>
      </c>
    </row>
    <row r="31" spans="1:5" x14ac:dyDescent="0.2">
      <c r="A31" s="5" t="s">
        <v>116</v>
      </c>
      <c r="B31" s="32" t="s">
        <v>585</v>
      </c>
      <c r="C31" s="33" t="s">
        <v>564</v>
      </c>
      <c r="D31" s="34" t="s">
        <v>565</v>
      </c>
      <c r="E31" s="35" t="s">
        <v>566</v>
      </c>
    </row>
    <row r="32" spans="1:5" x14ac:dyDescent="0.2">
      <c r="A32" s="5" t="s">
        <v>116</v>
      </c>
      <c r="B32" s="32" t="s">
        <v>586</v>
      </c>
      <c r="C32" s="33" t="s">
        <v>564</v>
      </c>
      <c r="D32" s="34" t="s">
        <v>565</v>
      </c>
      <c r="E32" s="35" t="s">
        <v>566</v>
      </c>
    </row>
    <row r="33" spans="1:5" x14ac:dyDescent="0.2">
      <c r="A33" s="5" t="s">
        <v>116</v>
      </c>
      <c r="B33" s="32" t="s">
        <v>587</v>
      </c>
      <c r="C33" s="33" t="s">
        <v>564</v>
      </c>
      <c r="D33" s="34" t="s">
        <v>565</v>
      </c>
      <c r="E33" s="35" t="s">
        <v>566</v>
      </c>
    </row>
    <row r="34" spans="1:5" x14ac:dyDescent="0.2">
      <c r="A34" s="5" t="s">
        <v>116</v>
      </c>
      <c r="B34" s="32" t="s">
        <v>588</v>
      </c>
      <c r="C34" s="33" t="s">
        <v>564</v>
      </c>
      <c r="D34" s="34" t="s">
        <v>565</v>
      </c>
      <c r="E34" s="35" t="s">
        <v>566</v>
      </c>
    </row>
    <row r="35" spans="1:5" x14ac:dyDescent="0.2">
      <c r="A35" s="5" t="s">
        <v>116</v>
      </c>
      <c r="B35" s="32" t="s">
        <v>589</v>
      </c>
      <c r="C35" s="33" t="s">
        <v>564</v>
      </c>
      <c r="D35" s="34" t="s">
        <v>565</v>
      </c>
      <c r="E35" s="35" t="s">
        <v>566</v>
      </c>
    </row>
    <row r="36" spans="1:5" x14ac:dyDescent="0.2">
      <c r="A36" s="5" t="s">
        <v>116</v>
      </c>
      <c r="B36" s="32" t="s">
        <v>590</v>
      </c>
      <c r="C36" s="33" t="s">
        <v>564</v>
      </c>
      <c r="D36" s="34" t="s">
        <v>565</v>
      </c>
      <c r="E36" s="35" t="s">
        <v>566</v>
      </c>
    </row>
    <row r="37" spans="1:5" x14ac:dyDescent="0.2">
      <c r="A37" s="5" t="s">
        <v>116</v>
      </c>
      <c r="B37" s="32" t="s">
        <v>591</v>
      </c>
      <c r="C37" s="33" t="s">
        <v>564</v>
      </c>
      <c r="D37" s="34" t="s">
        <v>565</v>
      </c>
      <c r="E37" s="35" t="s">
        <v>566</v>
      </c>
    </row>
    <row r="38" spans="1:5" x14ac:dyDescent="0.2">
      <c r="A38" s="5" t="s">
        <v>116</v>
      </c>
      <c r="B38" s="32" t="s">
        <v>592</v>
      </c>
      <c r="C38" s="33" t="s">
        <v>564</v>
      </c>
      <c r="D38" s="34" t="s">
        <v>565</v>
      </c>
      <c r="E38" s="35" t="s">
        <v>566</v>
      </c>
    </row>
    <row r="39" spans="1:5" x14ac:dyDescent="0.2">
      <c r="A39" s="5" t="s">
        <v>116</v>
      </c>
      <c r="B39" s="32" t="s">
        <v>593</v>
      </c>
      <c r="C39" s="36" t="s">
        <v>574</v>
      </c>
      <c r="D39" s="38" t="s">
        <v>10</v>
      </c>
      <c r="E39" s="37" t="s">
        <v>575</v>
      </c>
    </row>
    <row r="40" spans="1:5" x14ac:dyDescent="0.2">
      <c r="A40" s="5" t="s">
        <v>116</v>
      </c>
      <c r="B40" s="32" t="s">
        <v>594</v>
      </c>
      <c r="C40" s="33" t="s">
        <v>564</v>
      </c>
      <c r="D40" s="34" t="s">
        <v>565</v>
      </c>
      <c r="E40" s="35" t="s">
        <v>566</v>
      </c>
    </row>
    <row r="41" spans="1:5" x14ac:dyDescent="0.2">
      <c r="A41" s="5" t="s">
        <v>116</v>
      </c>
      <c r="B41" s="32" t="s">
        <v>595</v>
      </c>
      <c r="C41" s="33" t="s">
        <v>564</v>
      </c>
      <c r="D41" s="34" t="s">
        <v>565</v>
      </c>
      <c r="E41" s="35" t="s">
        <v>566</v>
      </c>
    </row>
    <row r="42" spans="1:5" x14ac:dyDescent="0.2">
      <c r="A42" s="5" t="s">
        <v>116</v>
      </c>
      <c r="B42" s="32" t="s">
        <v>596</v>
      </c>
      <c r="C42" s="36" t="s">
        <v>574</v>
      </c>
      <c r="D42" s="34" t="s">
        <v>565</v>
      </c>
      <c r="E42" s="37" t="s">
        <v>575</v>
      </c>
    </row>
    <row r="43" spans="1:5" x14ac:dyDescent="0.2">
      <c r="A43" s="5" t="s">
        <v>116</v>
      </c>
      <c r="B43" s="32" t="s">
        <v>597</v>
      </c>
      <c r="C43" s="36" t="s">
        <v>574</v>
      </c>
      <c r="D43" s="34" t="s">
        <v>565</v>
      </c>
      <c r="E43" s="37" t="s">
        <v>575</v>
      </c>
    </row>
    <row r="44" spans="1:5" x14ac:dyDescent="0.2">
      <c r="A44" s="5" t="s">
        <v>116</v>
      </c>
      <c r="B44" s="32" t="s">
        <v>598</v>
      </c>
      <c r="C44" s="33" t="s">
        <v>564</v>
      </c>
      <c r="D44" s="34" t="s">
        <v>565</v>
      </c>
      <c r="E44" s="35" t="s">
        <v>566</v>
      </c>
    </row>
    <row r="45" spans="1:5" x14ac:dyDescent="0.2">
      <c r="A45" s="5" t="s">
        <v>116</v>
      </c>
      <c r="B45" s="32" t="s">
        <v>599</v>
      </c>
      <c r="C45" s="33" t="s">
        <v>564</v>
      </c>
      <c r="D45" s="34" t="s">
        <v>565</v>
      </c>
      <c r="E45" s="35" t="s">
        <v>566</v>
      </c>
    </row>
    <row r="46" spans="1:5" x14ac:dyDescent="0.2">
      <c r="A46" s="5" t="s">
        <v>600</v>
      </c>
      <c r="B46" s="32" t="s">
        <v>601</v>
      </c>
      <c r="C46" s="33" t="s">
        <v>564</v>
      </c>
      <c r="D46" s="34" t="s">
        <v>565</v>
      </c>
      <c r="E46" s="35" t="s">
        <v>566</v>
      </c>
    </row>
    <row r="47" spans="1:5" x14ac:dyDescent="0.2">
      <c r="A47" s="5" t="s">
        <v>600</v>
      </c>
      <c r="B47" s="32" t="s">
        <v>602</v>
      </c>
      <c r="C47" s="33" t="s">
        <v>564</v>
      </c>
      <c r="D47" s="34" t="s">
        <v>565</v>
      </c>
      <c r="E47" s="35" t="s">
        <v>566</v>
      </c>
    </row>
    <row r="48" spans="1:5" x14ac:dyDescent="0.2">
      <c r="A48" s="5" t="s">
        <v>600</v>
      </c>
      <c r="B48" s="32" t="s">
        <v>603</v>
      </c>
      <c r="C48" s="33" t="s">
        <v>564</v>
      </c>
      <c r="D48" s="34" t="s">
        <v>565</v>
      </c>
      <c r="E48" s="35" t="s">
        <v>566</v>
      </c>
    </row>
    <row r="49" spans="1:5" x14ac:dyDescent="0.2">
      <c r="A49" s="5" t="s">
        <v>600</v>
      </c>
      <c r="B49" s="32" t="s">
        <v>604</v>
      </c>
      <c r="C49" s="33" t="s">
        <v>564</v>
      </c>
      <c r="D49" s="34" t="s">
        <v>565</v>
      </c>
      <c r="E49" s="35" t="s">
        <v>566</v>
      </c>
    </row>
    <row r="50" spans="1:5" x14ac:dyDescent="0.2">
      <c r="A50" s="5" t="s">
        <v>600</v>
      </c>
      <c r="B50" s="32" t="s">
        <v>605</v>
      </c>
      <c r="C50" s="36" t="s">
        <v>574</v>
      </c>
      <c r="D50" s="34" t="s">
        <v>565</v>
      </c>
      <c r="E50" s="37" t="s">
        <v>575</v>
      </c>
    </row>
    <row r="51" spans="1:5" x14ac:dyDescent="0.2">
      <c r="A51" s="5" t="s">
        <v>600</v>
      </c>
      <c r="B51" s="32" t="s">
        <v>606</v>
      </c>
      <c r="C51" s="36" t="s">
        <v>574</v>
      </c>
      <c r="D51" s="34" t="s">
        <v>565</v>
      </c>
      <c r="E51" s="37" t="s">
        <v>575</v>
      </c>
    </row>
    <row r="52" spans="1:5" x14ac:dyDescent="0.2">
      <c r="A52" s="5" t="s">
        <v>236</v>
      </c>
      <c r="B52" s="32" t="s">
        <v>607</v>
      </c>
      <c r="C52" s="33" t="s">
        <v>564</v>
      </c>
      <c r="D52" s="34" t="s">
        <v>565</v>
      </c>
      <c r="E52" s="35" t="s">
        <v>566</v>
      </c>
    </row>
    <row r="53" spans="1:5" x14ac:dyDescent="0.2">
      <c r="A53" s="5" t="s">
        <v>236</v>
      </c>
      <c r="B53" s="32" t="s">
        <v>608</v>
      </c>
      <c r="C53" s="33" t="s">
        <v>564</v>
      </c>
      <c r="D53" s="34" t="s">
        <v>565</v>
      </c>
      <c r="E53" s="35" t="s">
        <v>566</v>
      </c>
    </row>
    <row r="54" spans="1:5" x14ac:dyDescent="0.2">
      <c r="A54" s="5" t="s">
        <v>236</v>
      </c>
      <c r="B54" s="32" t="s">
        <v>609</v>
      </c>
      <c r="C54" s="33" t="s">
        <v>564</v>
      </c>
      <c r="D54" s="34" t="s">
        <v>565</v>
      </c>
      <c r="E54" s="35" t="s">
        <v>566</v>
      </c>
    </row>
    <row r="55" spans="1:5" x14ac:dyDescent="0.2">
      <c r="A55" s="5" t="s">
        <v>236</v>
      </c>
      <c r="B55" s="32" t="s">
        <v>610</v>
      </c>
      <c r="C55" s="33" t="s">
        <v>564</v>
      </c>
      <c r="D55" s="34" t="s">
        <v>565</v>
      </c>
      <c r="E55" s="35" t="s">
        <v>566</v>
      </c>
    </row>
    <row r="56" spans="1:5" x14ac:dyDescent="0.2">
      <c r="A56" s="5" t="s">
        <v>236</v>
      </c>
      <c r="B56" s="32" t="s">
        <v>611</v>
      </c>
      <c r="C56" s="33" t="s">
        <v>564</v>
      </c>
      <c r="D56" s="34" t="s">
        <v>565</v>
      </c>
      <c r="E56" s="35" t="s">
        <v>566</v>
      </c>
    </row>
    <row r="57" spans="1:5" x14ac:dyDescent="0.2">
      <c r="A57" s="5" t="s">
        <v>236</v>
      </c>
      <c r="B57" s="32" t="s">
        <v>612</v>
      </c>
      <c r="C57" s="33" t="s">
        <v>564</v>
      </c>
      <c r="D57" s="34" t="s">
        <v>565</v>
      </c>
      <c r="E57" s="35" t="s">
        <v>566</v>
      </c>
    </row>
    <row r="58" spans="1:5" x14ac:dyDescent="0.2">
      <c r="A58" s="5" t="s">
        <v>236</v>
      </c>
      <c r="B58" s="32" t="s">
        <v>613</v>
      </c>
      <c r="C58" s="33" t="s">
        <v>564</v>
      </c>
      <c r="D58" s="34" t="s">
        <v>565</v>
      </c>
      <c r="E58" s="35" t="s">
        <v>566</v>
      </c>
    </row>
    <row r="59" spans="1:5" x14ac:dyDescent="0.2">
      <c r="A59" s="5" t="s">
        <v>236</v>
      </c>
      <c r="B59" s="32" t="s">
        <v>614</v>
      </c>
      <c r="C59" s="36" t="s">
        <v>574</v>
      </c>
      <c r="D59" s="34" t="s">
        <v>565</v>
      </c>
      <c r="E59" s="37" t="s">
        <v>575</v>
      </c>
    </row>
    <row r="60" spans="1:5" x14ac:dyDescent="0.2">
      <c r="A60" s="5" t="s">
        <v>236</v>
      </c>
      <c r="B60" s="32" t="s">
        <v>615</v>
      </c>
      <c r="C60" s="36" t="s">
        <v>574</v>
      </c>
      <c r="D60" s="34" t="s">
        <v>565</v>
      </c>
      <c r="E60" s="37" t="s">
        <v>575</v>
      </c>
    </row>
    <row r="61" spans="1:5" x14ac:dyDescent="0.2">
      <c r="A61" s="5" t="s">
        <v>236</v>
      </c>
      <c r="B61" s="32" t="s">
        <v>616</v>
      </c>
      <c r="C61" s="36" t="s">
        <v>574</v>
      </c>
      <c r="D61" s="34" t="s">
        <v>565</v>
      </c>
      <c r="E61" s="37" t="s">
        <v>575</v>
      </c>
    </row>
    <row r="62" spans="1:5" x14ac:dyDescent="0.2">
      <c r="A62" s="5" t="s">
        <v>236</v>
      </c>
      <c r="B62" s="32" t="s">
        <v>617</v>
      </c>
      <c r="C62" s="36" t="s">
        <v>574</v>
      </c>
      <c r="D62" s="34" t="s">
        <v>565</v>
      </c>
      <c r="E62" s="37" t="s">
        <v>575</v>
      </c>
    </row>
    <row r="63" spans="1:5" x14ac:dyDescent="0.2">
      <c r="A63" s="5" t="s">
        <v>35</v>
      </c>
      <c r="B63" s="32" t="s">
        <v>618</v>
      </c>
      <c r="C63" s="33" t="s">
        <v>564</v>
      </c>
      <c r="D63" s="34" t="s">
        <v>565</v>
      </c>
      <c r="E63" s="35" t="s">
        <v>566</v>
      </c>
    </row>
    <row r="64" spans="1:5" x14ac:dyDescent="0.2">
      <c r="A64" s="5" t="s">
        <v>35</v>
      </c>
      <c r="B64" s="32" t="s">
        <v>619</v>
      </c>
      <c r="C64" s="33" t="s">
        <v>564</v>
      </c>
      <c r="D64" s="34" t="s">
        <v>565</v>
      </c>
      <c r="E64" s="35" t="s">
        <v>566</v>
      </c>
    </row>
    <row r="65" spans="1:5" x14ac:dyDescent="0.2">
      <c r="A65" s="5" t="s">
        <v>35</v>
      </c>
      <c r="B65" s="32" t="s">
        <v>620</v>
      </c>
      <c r="C65" s="33" t="s">
        <v>564</v>
      </c>
      <c r="D65" s="34" t="s">
        <v>565</v>
      </c>
      <c r="E65" s="35" t="s">
        <v>566</v>
      </c>
    </row>
    <row r="66" spans="1:5" x14ac:dyDescent="0.2">
      <c r="A66" s="5" t="s">
        <v>35</v>
      </c>
      <c r="B66" s="32" t="s">
        <v>621</v>
      </c>
      <c r="C66" s="33" t="s">
        <v>564</v>
      </c>
      <c r="D66" s="34" t="s">
        <v>565</v>
      </c>
      <c r="E66" s="35" t="s">
        <v>566</v>
      </c>
    </row>
    <row r="67" spans="1:5" x14ac:dyDescent="0.2">
      <c r="A67" s="5" t="s">
        <v>35</v>
      </c>
      <c r="B67" s="32" t="s">
        <v>622</v>
      </c>
      <c r="C67" s="33" t="s">
        <v>564</v>
      </c>
      <c r="D67" s="34" t="s">
        <v>565</v>
      </c>
      <c r="E67" s="35" t="s">
        <v>566</v>
      </c>
    </row>
    <row r="68" spans="1:5" x14ac:dyDescent="0.2">
      <c r="A68" s="5" t="s">
        <v>35</v>
      </c>
      <c r="B68" s="32" t="s">
        <v>623</v>
      </c>
      <c r="C68" s="33" t="s">
        <v>564</v>
      </c>
      <c r="D68" s="34" t="s">
        <v>565</v>
      </c>
      <c r="E68" s="35" t="s">
        <v>566</v>
      </c>
    </row>
    <row r="69" spans="1:5" x14ac:dyDescent="0.2">
      <c r="A69" s="5" t="s">
        <v>35</v>
      </c>
      <c r="B69" s="32" t="s">
        <v>624</v>
      </c>
      <c r="C69" s="33" t="s">
        <v>564</v>
      </c>
      <c r="D69" s="34" t="s">
        <v>565</v>
      </c>
      <c r="E69" s="35" t="s">
        <v>566</v>
      </c>
    </row>
    <row r="70" spans="1:5" x14ac:dyDescent="0.2">
      <c r="A70" s="5" t="s">
        <v>625</v>
      </c>
      <c r="B70" s="32" t="s">
        <v>626</v>
      </c>
      <c r="C70" s="33" t="s">
        <v>564</v>
      </c>
      <c r="D70" s="34" t="s">
        <v>565</v>
      </c>
      <c r="E70" s="35" t="s">
        <v>566</v>
      </c>
    </row>
    <row r="71" spans="1:5" x14ac:dyDescent="0.2">
      <c r="A71" s="5" t="s">
        <v>625</v>
      </c>
      <c r="B71" s="32" t="s">
        <v>627</v>
      </c>
      <c r="C71" s="33" t="s">
        <v>564</v>
      </c>
      <c r="D71" s="34" t="s">
        <v>565</v>
      </c>
      <c r="E71" s="35" t="s">
        <v>566</v>
      </c>
    </row>
    <row r="72" spans="1:5" x14ac:dyDescent="0.2">
      <c r="A72" s="5" t="s">
        <v>625</v>
      </c>
      <c r="B72" s="32" t="s">
        <v>628</v>
      </c>
      <c r="C72" s="33" t="s">
        <v>564</v>
      </c>
      <c r="D72" s="34" t="s">
        <v>565</v>
      </c>
      <c r="E72" s="35" t="s">
        <v>566</v>
      </c>
    </row>
    <row r="73" spans="1:5" x14ac:dyDescent="0.2">
      <c r="A73" s="5" t="s">
        <v>625</v>
      </c>
      <c r="B73" s="32" t="s">
        <v>629</v>
      </c>
      <c r="C73" s="36" t="s">
        <v>574</v>
      </c>
      <c r="D73" s="34" t="s">
        <v>565</v>
      </c>
      <c r="E73" s="37" t="s">
        <v>575</v>
      </c>
    </row>
    <row r="74" spans="1:5" x14ac:dyDescent="0.2">
      <c r="A74" s="5" t="s">
        <v>630</v>
      </c>
      <c r="B74" s="32" t="s">
        <v>631</v>
      </c>
      <c r="C74" s="33" t="s">
        <v>564</v>
      </c>
      <c r="D74" s="34" t="s">
        <v>565</v>
      </c>
      <c r="E74" s="35" t="s">
        <v>566</v>
      </c>
    </row>
    <row r="75" spans="1:5" x14ac:dyDescent="0.2">
      <c r="A75" s="5" t="s">
        <v>630</v>
      </c>
      <c r="B75" s="32" t="s">
        <v>632</v>
      </c>
      <c r="C75" s="33" t="s">
        <v>564</v>
      </c>
      <c r="D75" s="34" t="s">
        <v>565</v>
      </c>
      <c r="E75" s="35" t="s">
        <v>566</v>
      </c>
    </row>
    <row r="76" spans="1:5" x14ac:dyDescent="0.2">
      <c r="A76" s="5" t="s">
        <v>630</v>
      </c>
      <c r="B76" s="32" t="s">
        <v>633</v>
      </c>
      <c r="C76" s="36" t="s">
        <v>574</v>
      </c>
      <c r="D76" s="34" t="s">
        <v>565</v>
      </c>
      <c r="E76" s="37" t="s">
        <v>575</v>
      </c>
    </row>
    <row r="77" spans="1:5" x14ac:dyDescent="0.2">
      <c r="A77" s="5" t="s">
        <v>630</v>
      </c>
      <c r="B77" s="32" t="s">
        <v>634</v>
      </c>
      <c r="C77" s="33" t="s">
        <v>564</v>
      </c>
      <c r="D77" s="34" t="s">
        <v>565</v>
      </c>
      <c r="E77" s="35" t="s">
        <v>566</v>
      </c>
    </row>
    <row r="78" spans="1:5" x14ac:dyDescent="0.2">
      <c r="A78" s="5" t="s">
        <v>630</v>
      </c>
      <c r="B78" s="32" t="s">
        <v>635</v>
      </c>
      <c r="C78" s="33" t="s">
        <v>564</v>
      </c>
      <c r="D78" s="34" t="s">
        <v>565</v>
      </c>
      <c r="E78" s="35" t="s">
        <v>566</v>
      </c>
    </row>
    <row r="79" spans="1:5" x14ac:dyDescent="0.2">
      <c r="A79" s="5" t="s">
        <v>630</v>
      </c>
      <c r="B79" s="32" t="s">
        <v>636</v>
      </c>
      <c r="C79" s="36" t="s">
        <v>574</v>
      </c>
      <c r="D79" s="34" t="s">
        <v>565</v>
      </c>
      <c r="E79" s="37" t="s">
        <v>575</v>
      </c>
    </row>
    <row r="80" spans="1:5" x14ac:dyDescent="0.2">
      <c r="A80" s="5" t="s">
        <v>637</v>
      </c>
      <c r="B80" s="32" t="s">
        <v>638</v>
      </c>
      <c r="C80" s="33" t="s">
        <v>564</v>
      </c>
      <c r="D80" s="34" t="s">
        <v>565</v>
      </c>
      <c r="E80" s="35" t="s">
        <v>566</v>
      </c>
    </row>
    <row r="81" spans="1:5" x14ac:dyDescent="0.2">
      <c r="A81" s="5" t="s">
        <v>637</v>
      </c>
      <c r="B81" s="32" t="s">
        <v>639</v>
      </c>
      <c r="C81" s="36" t="s">
        <v>574</v>
      </c>
      <c r="D81" s="34" t="s">
        <v>565</v>
      </c>
      <c r="E81" s="37" t="s">
        <v>575</v>
      </c>
    </row>
    <row r="82" spans="1:5" x14ac:dyDescent="0.2">
      <c r="A82" s="5" t="s">
        <v>637</v>
      </c>
      <c r="B82" s="32" t="s">
        <v>640</v>
      </c>
      <c r="C82" s="33" t="s">
        <v>564</v>
      </c>
      <c r="D82" s="34" t="s">
        <v>565</v>
      </c>
      <c r="E82" s="35" t="s">
        <v>566</v>
      </c>
    </row>
    <row r="83" spans="1:5" x14ac:dyDescent="0.2">
      <c r="A83" s="5" t="s">
        <v>637</v>
      </c>
      <c r="B83" s="32" t="s">
        <v>641</v>
      </c>
      <c r="C83" s="33" t="s">
        <v>564</v>
      </c>
      <c r="D83" s="34" t="s">
        <v>565</v>
      </c>
      <c r="E83" s="35" t="s">
        <v>566</v>
      </c>
    </row>
    <row r="84" spans="1:5" x14ac:dyDescent="0.2">
      <c r="A84" s="5" t="s">
        <v>274</v>
      </c>
      <c r="B84" s="32" t="s">
        <v>642</v>
      </c>
      <c r="C84" s="33" t="s">
        <v>564</v>
      </c>
      <c r="D84" s="34" t="s">
        <v>565</v>
      </c>
      <c r="E84" s="35" t="s">
        <v>566</v>
      </c>
    </row>
    <row r="85" spans="1:5" x14ac:dyDescent="0.2">
      <c r="A85" s="5" t="s">
        <v>274</v>
      </c>
      <c r="B85" s="32" t="s">
        <v>643</v>
      </c>
      <c r="C85" s="33" t="s">
        <v>564</v>
      </c>
      <c r="D85" s="34" t="s">
        <v>565</v>
      </c>
      <c r="E85" s="35" t="s">
        <v>566</v>
      </c>
    </row>
    <row r="86" spans="1:5" x14ac:dyDescent="0.2">
      <c r="A86" s="5" t="s">
        <v>274</v>
      </c>
      <c r="B86" s="32" t="s">
        <v>644</v>
      </c>
      <c r="C86" s="33" t="s">
        <v>564</v>
      </c>
      <c r="D86" s="34" t="s">
        <v>565</v>
      </c>
      <c r="E86" s="35" t="s">
        <v>566</v>
      </c>
    </row>
    <row r="87" spans="1:5" x14ac:dyDescent="0.2">
      <c r="A87" s="5" t="s">
        <v>274</v>
      </c>
      <c r="B87" s="32" t="s">
        <v>645</v>
      </c>
      <c r="C87" s="33" t="s">
        <v>564</v>
      </c>
      <c r="D87" s="34" t="s">
        <v>565</v>
      </c>
      <c r="E87" s="35" t="s">
        <v>566</v>
      </c>
    </row>
    <row r="88" spans="1:5" x14ac:dyDescent="0.2">
      <c r="A88" s="5" t="s">
        <v>274</v>
      </c>
      <c r="B88" s="32" t="s">
        <v>646</v>
      </c>
      <c r="C88" s="33" t="s">
        <v>564</v>
      </c>
      <c r="D88" s="34" t="s">
        <v>565</v>
      </c>
      <c r="E88" s="35" t="s">
        <v>566</v>
      </c>
    </row>
    <row r="89" spans="1:5" x14ac:dyDescent="0.2">
      <c r="A89" s="5" t="s">
        <v>274</v>
      </c>
      <c r="B89" s="32" t="s">
        <v>647</v>
      </c>
      <c r="C89" s="33" t="s">
        <v>564</v>
      </c>
      <c r="D89" s="34" t="s">
        <v>565</v>
      </c>
      <c r="E89" s="35" t="s">
        <v>566</v>
      </c>
    </row>
    <row r="90" spans="1:5" x14ac:dyDescent="0.2">
      <c r="A90" s="5" t="s">
        <v>648</v>
      </c>
      <c r="B90" s="32" t="s">
        <v>649</v>
      </c>
      <c r="C90" s="33" t="s">
        <v>564</v>
      </c>
      <c r="D90" s="34" t="s">
        <v>565</v>
      </c>
      <c r="E90" s="35" t="s">
        <v>566</v>
      </c>
    </row>
    <row r="91" spans="1:5" x14ac:dyDescent="0.2">
      <c r="A91" s="5" t="s">
        <v>648</v>
      </c>
      <c r="B91" s="32" t="s">
        <v>650</v>
      </c>
      <c r="C91" s="33" t="s">
        <v>564</v>
      </c>
      <c r="D91" s="34" t="s">
        <v>565</v>
      </c>
      <c r="E91" s="35" t="s">
        <v>566</v>
      </c>
    </row>
    <row r="92" spans="1:5" x14ac:dyDescent="0.2">
      <c r="A92" s="5" t="s">
        <v>648</v>
      </c>
      <c r="B92" s="32" t="s">
        <v>651</v>
      </c>
      <c r="C92" s="33" t="s">
        <v>564</v>
      </c>
      <c r="D92" s="34" t="s">
        <v>565</v>
      </c>
      <c r="E92" s="35" t="s">
        <v>566</v>
      </c>
    </row>
    <row r="93" spans="1:5" x14ac:dyDescent="0.2">
      <c r="A93" s="5" t="s">
        <v>648</v>
      </c>
      <c r="B93" s="32" t="s">
        <v>652</v>
      </c>
      <c r="C93" s="33" t="s">
        <v>564</v>
      </c>
      <c r="D93" s="34" t="s">
        <v>565</v>
      </c>
      <c r="E93" s="35" t="s">
        <v>566</v>
      </c>
    </row>
    <row r="94" spans="1:5" x14ac:dyDescent="0.2">
      <c r="A94" s="5" t="s">
        <v>648</v>
      </c>
      <c r="B94" s="32" t="s">
        <v>653</v>
      </c>
      <c r="C94" s="33" t="s">
        <v>564</v>
      </c>
      <c r="D94" s="34" t="s">
        <v>565</v>
      </c>
      <c r="E94" s="35" t="s">
        <v>566</v>
      </c>
    </row>
    <row r="95" spans="1:5" x14ac:dyDescent="0.2">
      <c r="A95" s="5" t="s">
        <v>406</v>
      </c>
      <c r="B95" s="32" t="s">
        <v>654</v>
      </c>
      <c r="C95" s="33" t="s">
        <v>564</v>
      </c>
      <c r="D95" s="34" t="s">
        <v>565</v>
      </c>
      <c r="E95" s="35" t="s">
        <v>566</v>
      </c>
    </row>
    <row r="96" spans="1:5" x14ac:dyDescent="0.2">
      <c r="A96" s="5" t="s">
        <v>406</v>
      </c>
      <c r="B96" s="32" t="s">
        <v>655</v>
      </c>
      <c r="C96" s="33" t="s">
        <v>564</v>
      </c>
      <c r="D96" s="34" t="s">
        <v>565</v>
      </c>
      <c r="E96" s="35" t="s">
        <v>566</v>
      </c>
    </row>
    <row r="97" spans="1:5" x14ac:dyDescent="0.2">
      <c r="A97" s="5" t="s">
        <v>406</v>
      </c>
      <c r="B97" s="32" t="s">
        <v>656</v>
      </c>
      <c r="C97" s="33" t="s">
        <v>564</v>
      </c>
      <c r="D97" s="34" t="s">
        <v>565</v>
      </c>
      <c r="E97" s="35" t="s">
        <v>566</v>
      </c>
    </row>
    <row r="98" spans="1:5" x14ac:dyDescent="0.2">
      <c r="A98" s="5" t="s">
        <v>406</v>
      </c>
      <c r="B98" s="32" t="s">
        <v>657</v>
      </c>
      <c r="C98" s="33" t="s">
        <v>564</v>
      </c>
      <c r="D98" s="34" t="s">
        <v>565</v>
      </c>
      <c r="E98" s="35" t="s">
        <v>566</v>
      </c>
    </row>
    <row r="99" spans="1:5" x14ac:dyDescent="0.2">
      <c r="A99" s="5" t="s">
        <v>406</v>
      </c>
      <c r="B99" s="32" t="s">
        <v>658</v>
      </c>
      <c r="C99" s="33" t="s">
        <v>564</v>
      </c>
      <c r="D99" s="34" t="s">
        <v>565</v>
      </c>
      <c r="E99" s="35" t="s">
        <v>566</v>
      </c>
    </row>
    <row r="100" spans="1:5" x14ac:dyDescent="0.2">
      <c r="A100" s="5" t="s">
        <v>406</v>
      </c>
      <c r="B100" s="32" t="s">
        <v>659</v>
      </c>
      <c r="C100" s="36" t="s">
        <v>574</v>
      </c>
      <c r="D100" s="34" t="s">
        <v>565</v>
      </c>
      <c r="E100" s="37" t="s">
        <v>575</v>
      </c>
    </row>
    <row r="101" spans="1:5" x14ac:dyDescent="0.2">
      <c r="A101" s="5" t="s">
        <v>406</v>
      </c>
      <c r="B101" s="32" t="s">
        <v>660</v>
      </c>
      <c r="C101" s="36" t="s">
        <v>574</v>
      </c>
      <c r="D101" s="34" t="s">
        <v>565</v>
      </c>
      <c r="E101" s="37" t="s">
        <v>575</v>
      </c>
    </row>
    <row r="102" spans="1:5" x14ac:dyDescent="0.2">
      <c r="A102" s="5" t="s">
        <v>406</v>
      </c>
      <c r="B102" s="32" t="s">
        <v>661</v>
      </c>
      <c r="C102" s="36" t="s">
        <v>574</v>
      </c>
      <c r="D102" s="34" t="s">
        <v>565</v>
      </c>
      <c r="E102" s="37" t="s">
        <v>575</v>
      </c>
    </row>
    <row r="103" spans="1:5" x14ac:dyDescent="0.2">
      <c r="A103" s="5" t="s">
        <v>376</v>
      </c>
      <c r="B103" s="32" t="s">
        <v>662</v>
      </c>
      <c r="C103" s="36" t="s">
        <v>574</v>
      </c>
      <c r="D103" s="34" t="s">
        <v>565</v>
      </c>
      <c r="E103" s="37" t="s">
        <v>575</v>
      </c>
    </row>
    <row r="104" spans="1:5" x14ac:dyDescent="0.2">
      <c r="A104" s="5" t="s">
        <v>376</v>
      </c>
      <c r="B104" s="32" t="s">
        <v>663</v>
      </c>
      <c r="C104" s="36" t="s">
        <v>574</v>
      </c>
      <c r="D104" s="34" t="s">
        <v>565</v>
      </c>
      <c r="E104" s="37" t="s">
        <v>575</v>
      </c>
    </row>
    <row r="105" spans="1:5" x14ac:dyDescent="0.2">
      <c r="A105" s="5" t="s">
        <v>376</v>
      </c>
      <c r="B105" s="32" t="s">
        <v>664</v>
      </c>
      <c r="C105" s="36" t="s">
        <v>574</v>
      </c>
      <c r="D105" s="34" t="s">
        <v>565</v>
      </c>
      <c r="E105" s="37" t="s">
        <v>575</v>
      </c>
    </row>
    <row r="106" spans="1:5" x14ac:dyDescent="0.2">
      <c r="A106" s="5" t="s">
        <v>376</v>
      </c>
      <c r="B106" s="32" t="s">
        <v>665</v>
      </c>
      <c r="C106" s="36" t="s">
        <v>574</v>
      </c>
      <c r="D106" s="34" t="s">
        <v>565</v>
      </c>
      <c r="E106" s="37" t="s">
        <v>575</v>
      </c>
    </row>
    <row r="107" spans="1:5" x14ac:dyDescent="0.2">
      <c r="A107" s="5" t="s">
        <v>376</v>
      </c>
      <c r="B107" s="32" t="s">
        <v>666</v>
      </c>
      <c r="C107" s="36" t="s">
        <v>574</v>
      </c>
      <c r="D107" s="34" t="s">
        <v>565</v>
      </c>
      <c r="E107" s="37" t="s">
        <v>575</v>
      </c>
    </row>
    <row r="108" spans="1:5" x14ac:dyDescent="0.2">
      <c r="A108" s="5" t="s">
        <v>376</v>
      </c>
      <c r="B108" s="32" t="s">
        <v>667</v>
      </c>
      <c r="C108" s="36" t="s">
        <v>574</v>
      </c>
      <c r="D108" s="34" t="s">
        <v>565</v>
      </c>
      <c r="E108" s="37" t="s">
        <v>575</v>
      </c>
    </row>
    <row r="109" spans="1:5" x14ac:dyDescent="0.2">
      <c r="A109" s="5" t="s">
        <v>376</v>
      </c>
      <c r="B109" s="32" t="s">
        <v>668</v>
      </c>
      <c r="C109" s="36" t="s">
        <v>574</v>
      </c>
      <c r="D109" s="34" t="s">
        <v>565</v>
      </c>
      <c r="E109" s="37" t="s">
        <v>575</v>
      </c>
    </row>
    <row r="110" spans="1:5" x14ac:dyDescent="0.2">
      <c r="A110" s="5" t="s">
        <v>376</v>
      </c>
      <c r="B110" s="32" t="s">
        <v>669</v>
      </c>
      <c r="C110" s="36" t="s">
        <v>574</v>
      </c>
      <c r="D110" s="34" t="s">
        <v>565</v>
      </c>
      <c r="E110" s="37" t="s">
        <v>575</v>
      </c>
    </row>
    <row r="111" spans="1:5" x14ac:dyDescent="0.2">
      <c r="A111" s="5" t="s">
        <v>376</v>
      </c>
      <c r="B111" s="32" t="s">
        <v>670</v>
      </c>
      <c r="C111" s="36" t="s">
        <v>574</v>
      </c>
      <c r="D111" s="34" t="s">
        <v>565</v>
      </c>
      <c r="E111" s="37" t="s">
        <v>575</v>
      </c>
    </row>
    <row r="112" spans="1:5" x14ac:dyDescent="0.2">
      <c r="A112" s="5" t="s">
        <v>376</v>
      </c>
      <c r="B112" s="32" t="s">
        <v>671</v>
      </c>
      <c r="C112" s="36" t="s">
        <v>574</v>
      </c>
      <c r="D112" s="34" t="s">
        <v>565</v>
      </c>
      <c r="E112" s="37" t="s">
        <v>575</v>
      </c>
    </row>
    <row r="113" spans="1:5" x14ac:dyDescent="0.2">
      <c r="A113" s="5" t="s">
        <v>398</v>
      </c>
      <c r="B113" s="32" t="s">
        <v>672</v>
      </c>
      <c r="C113" s="36" t="s">
        <v>574</v>
      </c>
      <c r="D113" s="34" t="s">
        <v>565</v>
      </c>
      <c r="E113" s="37" t="s">
        <v>575</v>
      </c>
    </row>
    <row r="114" spans="1:5" x14ac:dyDescent="0.2">
      <c r="A114" s="5" t="s">
        <v>398</v>
      </c>
      <c r="B114" s="32" t="s">
        <v>673</v>
      </c>
      <c r="C114" s="36" t="s">
        <v>574</v>
      </c>
      <c r="D114" s="34" t="s">
        <v>565</v>
      </c>
      <c r="E114" s="37" t="s">
        <v>575</v>
      </c>
    </row>
    <row r="115" spans="1:5" x14ac:dyDescent="0.2">
      <c r="A115" s="5" t="s">
        <v>398</v>
      </c>
      <c r="B115" s="32" t="s">
        <v>674</v>
      </c>
      <c r="C115" s="36" t="s">
        <v>574</v>
      </c>
      <c r="D115" s="34" t="s">
        <v>565</v>
      </c>
      <c r="E115" s="37" t="s">
        <v>575</v>
      </c>
    </row>
    <row r="116" spans="1:5" x14ac:dyDescent="0.2">
      <c r="A116" s="5" t="s">
        <v>398</v>
      </c>
      <c r="B116" s="32" t="s">
        <v>675</v>
      </c>
      <c r="C116" s="36" t="s">
        <v>574</v>
      </c>
      <c r="D116" s="34" t="s">
        <v>565</v>
      </c>
      <c r="E116" s="37" t="s">
        <v>575</v>
      </c>
    </row>
    <row r="117" spans="1:5" x14ac:dyDescent="0.2">
      <c r="A117" s="5" t="s">
        <v>676</v>
      </c>
      <c r="B117" s="32" t="s">
        <v>677</v>
      </c>
      <c r="C117" s="33" t="s">
        <v>564</v>
      </c>
      <c r="D117" s="34" t="s">
        <v>565</v>
      </c>
      <c r="E117" s="35" t="s">
        <v>566</v>
      </c>
    </row>
    <row r="118" spans="1:5" x14ac:dyDescent="0.2">
      <c r="A118" s="5" t="s">
        <v>676</v>
      </c>
      <c r="B118" s="32" t="s">
        <v>678</v>
      </c>
      <c r="C118" s="33" t="s">
        <v>564</v>
      </c>
      <c r="D118" s="34" t="s">
        <v>565</v>
      </c>
      <c r="E118" s="35" t="s">
        <v>566</v>
      </c>
    </row>
    <row r="119" spans="1:5" x14ac:dyDescent="0.2">
      <c r="A119" s="5" t="s">
        <v>676</v>
      </c>
      <c r="B119" s="32" t="s">
        <v>679</v>
      </c>
      <c r="C119" s="33" t="s">
        <v>564</v>
      </c>
      <c r="D119" s="34" t="s">
        <v>565</v>
      </c>
      <c r="E119" s="35" t="s">
        <v>566</v>
      </c>
    </row>
    <row r="120" spans="1:5" x14ac:dyDescent="0.2">
      <c r="A120" s="5" t="s">
        <v>676</v>
      </c>
      <c r="B120" s="32" t="s">
        <v>680</v>
      </c>
      <c r="C120" s="36" t="s">
        <v>574</v>
      </c>
      <c r="D120" s="34" t="s">
        <v>565</v>
      </c>
      <c r="E120" s="37" t="s">
        <v>575</v>
      </c>
    </row>
    <row r="121" spans="1:5" x14ac:dyDescent="0.2">
      <c r="A121" s="5" t="s">
        <v>676</v>
      </c>
      <c r="B121" s="32" t="s">
        <v>681</v>
      </c>
      <c r="C121" s="36" t="s">
        <v>574</v>
      </c>
      <c r="D121" s="34" t="s">
        <v>565</v>
      </c>
      <c r="E121" s="37" t="s">
        <v>575</v>
      </c>
    </row>
    <row r="122" spans="1:5" x14ac:dyDescent="0.2">
      <c r="A122" s="5" t="s">
        <v>323</v>
      </c>
      <c r="B122" s="32" t="s">
        <v>682</v>
      </c>
      <c r="C122" s="36" t="s">
        <v>574</v>
      </c>
      <c r="D122" s="34" t="s">
        <v>565</v>
      </c>
      <c r="E122" s="37" t="s">
        <v>575</v>
      </c>
    </row>
    <row r="123" spans="1:5" x14ac:dyDescent="0.2">
      <c r="A123" s="5" t="s">
        <v>323</v>
      </c>
      <c r="B123" s="32" t="s">
        <v>683</v>
      </c>
      <c r="C123" s="36" t="s">
        <v>574</v>
      </c>
      <c r="D123" s="34" t="s">
        <v>565</v>
      </c>
      <c r="E123" s="37" t="s">
        <v>575</v>
      </c>
    </row>
    <row r="124" spans="1:5" x14ac:dyDescent="0.2">
      <c r="A124" s="5" t="s">
        <v>323</v>
      </c>
      <c r="B124" s="32" t="s">
        <v>684</v>
      </c>
      <c r="C124" s="36" t="s">
        <v>574</v>
      </c>
      <c r="D124" s="34" t="s">
        <v>565</v>
      </c>
      <c r="E124" s="37" t="s">
        <v>575</v>
      </c>
    </row>
    <row r="125" spans="1:5" x14ac:dyDescent="0.2">
      <c r="A125" s="5" t="s">
        <v>323</v>
      </c>
      <c r="B125" s="32" t="s">
        <v>685</v>
      </c>
      <c r="C125" s="36" t="s">
        <v>574</v>
      </c>
      <c r="D125" s="34" t="s">
        <v>565</v>
      </c>
      <c r="E125" s="37" t="s">
        <v>575</v>
      </c>
    </row>
    <row r="126" spans="1:5" x14ac:dyDescent="0.2">
      <c r="A126" s="5" t="s">
        <v>62</v>
      </c>
      <c r="B126" s="32" t="s">
        <v>686</v>
      </c>
      <c r="C126" s="33" t="s">
        <v>564</v>
      </c>
      <c r="D126" s="34" t="s">
        <v>565</v>
      </c>
      <c r="E126" s="35" t="s">
        <v>566</v>
      </c>
    </row>
    <row r="127" spans="1:5" x14ac:dyDescent="0.2">
      <c r="A127" s="5" t="s">
        <v>62</v>
      </c>
      <c r="B127" s="32" t="s">
        <v>687</v>
      </c>
      <c r="C127" s="33" t="s">
        <v>564</v>
      </c>
      <c r="D127" s="34" t="s">
        <v>565</v>
      </c>
      <c r="E127" s="35" t="s">
        <v>566</v>
      </c>
    </row>
    <row r="128" spans="1:5" x14ac:dyDescent="0.2">
      <c r="A128" s="5" t="s">
        <v>62</v>
      </c>
      <c r="B128" s="32" t="s">
        <v>688</v>
      </c>
      <c r="C128" s="33" t="s">
        <v>564</v>
      </c>
      <c r="D128" s="34" t="s">
        <v>565</v>
      </c>
      <c r="E128" s="35" t="s">
        <v>566</v>
      </c>
    </row>
    <row r="129" spans="1:5" x14ac:dyDescent="0.2">
      <c r="A129" s="5" t="s">
        <v>62</v>
      </c>
      <c r="B129" s="32" t="s">
        <v>689</v>
      </c>
      <c r="C129" s="33" t="s">
        <v>564</v>
      </c>
      <c r="D129" s="34" t="s">
        <v>565</v>
      </c>
      <c r="E129" s="35" t="s">
        <v>566</v>
      </c>
    </row>
    <row r="130" spans="1:5" x14ac:dyDescent="0.2">
      <c r="A130" s="5" t="s">
        <v>62</v>
      </c>
      <c r="B130" s="32" t="s">
        <v>690</v>
      </c>
      <c r="C130" s="36" t="s">
        <v>574</v>
      </c>
      <c r="D130" s="34" t="s">
        <v>565</v>
      </c>
      <c r="E130" s="37" t="s">
        <v>575</v>
      </c>
    </row>
    <row r="131" spans="1:5" x14ac:dyDescent="0.2">
      <c r="A131" s="5" t="s">
        <v>62</v>
      </c>
      <c r="B131" s="32" t="s">
        <v>691</v>
      </c>
      <c r="C131" s="36" t="s">
        <v>574</v>
      </c>
      <c r="D131" s="34" t="s">
        <v>565</v>
      </c>
      <c r="E131" s="37" t="s">
        <v>575</v>
      </c>
    </row>
    <row r="132" spans="1:5" x14ac:dyDescent="0.2">
      <c r="A132" s="5" t="s">
        <v>62</v>
      </c>
      <c r="B132" s="32" t="s">
        <v>692</v>
      </c>
      <c r="C132" s="36" t="s">
        <v>574</v>
      </c>
      <c r="D132" s="34" t="s">
        <v>565</v>
      </c>
      <c r="E132" s="37" t="s">
        <v>575</v>
      </c>
    </row>
    <row r="133" spans="1:5" x14ac:dyDescent="0.2">
      <c r="A133" s="5" t="s">
        <v>62</v>
      </c>
      <c r="B133" s="32" t="s">
        <v>693</v>
      </c>
      <c r="C133" s="36" t="s">
        <v>574</v>
      </c>
      <c r="D133" s="34" t="s">
        <v>565</v>
      </c>
      <c r="E133" s="37" t="s">
        <v>575</v>
      </c>
    </row>
    <row r="134" spans="1:5" x14ac:dyDescent="0.2">
      <c r="A134" s="5" t="s">
        <v>62</v>
      </c>
      <c r="B134" s="32" t="s">
        <v>694</v>
      </c>
      <c r="C134" s="36" t="s">
        <v>574</v>
      </c>
      <c r="D134" s="34" t="s">
        <v>565</v>
      </c>
      <c r="E134" s="37" t="s">
        <v>575</v>
      </c>
    </row>
    <row r="135" spans="1:5" x14ac:dyDescent="0.2">
      <c r="A135" s="5" t="s">
        <v>62</v>
      </c>
      <c r="B135" s="32" t="s">
        <v>695</v>
      </c>
      <c r="C135" s="33" t="s">
        <v>564</v>
      </c>
      <c r="D135" s="34" t="s">
        <v>565</v>
      </c>
      <c r="E135" s="35" t="s">
        <v>566</v>
      </c>
    </row>
    <row r="136" spans="1:5" x14ac:dyDescent="0.2">
      <c r="A136" s="5" t="s">
        <v>62</v>
      </c>
      <c r="B136" s="32" t="s">
        <v>696</v>
      </c>
      <c r="C136" s="36" t="s">
        <v>574</v>
      </c>
      <c r="D136" s="34" t="s">
        <v>565</v>
      </c>
      <c r="E136" s="37" t="s">
        <v>575</v>
      </c>
    </row>
    <row r="137" spans="1:5" x14ac:dyDescent="0.2">
      <c r="A137" s="5" t="s">
        <v>697</v>
      </c>
      <c r="B137" s="32" t="s">
        <v>698</v>
      </c>
      <c r="C137" s="33" t="s">
        <v>564</v>
      </c>
      <c r="D137" s="34" t="s">
        <v>565</v>
      </c>
      <c r="E137" s="35" t="s">
        <v>566</v>
      </c>
    </row>
    <row r="138" spans="1:5" x14ac:dyDescent="0.2">
      <c r="A138" s="5" t="s">
        <v>697</v>
      </c>
      <c r="B138" s="32" t="s">
        <v>699</v>
      </c>
      <c r="C138" s="33" t="s">
        <v>564</v>
      </c>
      <c r="D138" s="34" t="s">
        <v>565</v>
      </c>
      <c r="E138" s="35" t="s">
        <v>566</v>
      </c>
    </row>
    <row r="139" spans="1:5" x14ac:dyDescent="0.2">
      <c r="A139" s="5" t="s">
        <v>697</v>
      </c>
      <c r="B139" s="32" t="s">
        <v>700</v>
      </c>
      <c r="C139" s="36" t="s">
        <v>574</v>
      </c>
      <c r="D139" s="34" t="s">
        <v>565</v>
      </c>
      <c r="E139" s="37" t="s">
        <v>575</v>
      </c>
    </row>
    <row r="140" spans="1:5" x14ac:dyDescent="0.2">
      <c r="A140" s="5" t="s">
        <v>697</v>
      </c>
      <c r="B140" s="32" t="s">
        <v>701</v>
      </c>
      <c r="C140" s="36" t="s">
        <v>574</v>
      </c>
      <c r="D140" s="34" t="s">
        <v>565</v>
      </c>
      <c r="E140" s="37" t="s">
        <v>575</v>
      </c>
    </row>
    <row r="141" spans="1:5" x14ac:dyDescent="0.2">
      <c r="A141" s="5" t="s">
        <v>697</v>
      </c>
      <c r="B141" s="32" t="s">
        <v>702</v>
      </c>
      <c r="C141" s="36" t="s">
        <v>574</v>
      </c>
      <c r="D141" s="34" t="s">
        <v>565</v>
      </c>
      <c r="E141" s="37" t="s">
        <v>575</v>
      </c>
    </row>
    <row r="142" spans="1:5" x14ac:dyDescent="0.2">
      <c r="A142" s="5" t="s">
        <v>697</v>
      </c>
      <c r="B142" s="32" t="s">
        <v>703</v>
      </c>
      <c r="C142" s="36" t="s">
        <v>574</v>
      </c>
      <c r="D142" s="34" t="s">
        <v>565</v>
      </c>
      <c r="E142" s="37" t="s">
        <v>575</v>
      </c>
    </row>
    <row r="143" spans="1:5" x14ac:dyDescent="0.2">
      <c r="A143" s="5" t="s">
        <v>697</v>
      </c>
      <c r="B143" s="32" t="s">
        <v>704</v>
      </c>
      <c r="C143" s="36" t="s">
        <v>574</v>
      </c>
      <c r="D143" s="34" t="s">
        <v>565</v>
      </c>
      <c r="E143" s="37" t="s">
        <v>575</v>
      </c>
    </row>
    <row r="144" spans="1:5" x14ac:dyDescent="0.2">
      <c r="A144" s="5" t="s">
        <v>697</v>
      </c>
      <c r="B144" s="32" t="s">
        <v>705</v>
      </c>
      <c r="C144" s="36" t="s">
        <v>574</v>
      </c>
      <c r="D144" s="34" t="s">
        <v>565</v>
      </c>
      <c r="E144" s="37" t="s">
        <v>575</v>
      </c>
    </row>
    <row r="145" spans="1:5" x14ac:dyDescent="0.2">
      <c r="A145" s="5" t="s">
        <v>697</v>
      </c>
      <c r="B145" s="32" t="s">
        <v>706</v>
      </c>
      <c r="C145" s="36" t="s">
        <v>574</v>
      </c>
      <c r="D145" s="34" t="s">
        <v>565</v>
      </c>
      <c r="E145" s="37" t="s">
        <v>575</v>
      </c>
    </row>
    <row r="146" spans="1:5" x14ac:dyDescent="0.2">
      <c r="A146" s="5" t="s">
        <v>697</v>
      </c>
      <c r="B146" s="32" t="s">
        <v>707</v>
      </c>
      <c r="C146" s="36" t="s">
        <v>574</v>
      </c>
      <c r="D146" s="34" t="s">
        <v>565</v>
      </c>
      <c r="E146" s="37" t="s">
        <v>575</v>
      </c>
    </row>
    <row r="147" spans="1:5" x14ac:dyDescent="0.2">
      <c r="A147" s="5" t="s">
        <v>697</v>
      </c>
      <c r="B147" s="32" t="s">
        <v>708</v>
      </c>
      <c r="C147" s="33" t="s">
        <v>564</v>
      </c>
      <c r="D147" s="34" t="s">
        <v>565</v>
      </c>
      <c r="E147" s="35" t="s">
        <v>566</v>
      </c>
    </row>
    <row r="148" spans="1:5" x14ac:dyDescent="0.2">
      <c r="A148" s="5" t="s">
        <v>697</v>
      </c>
      <c r="B148" s="32" t="s">
        <v>709</v>
      </c>
      <c r="C148" s="36" t="s">
        <v>574</v>
      </c>
      <c r="D148" s="34" t="s">
        <v>565</v>
      </c>
      <c r="E148" s="37" t="s">
        <v>575</v>
      </c>
    </row>
    <row r="149" spans="1:5" x14ac:dyDescent="0.2">
      <c r="A149" s="5" t="s">
        <v>710</v>
      </c>
      <c r="B149" s="32" t="s">
        <v>711</v>
      </c>
      <c r="C149" s="33" t="s">
        <v>564</v>
      </c>
      <c r="D149" s="34" t="s">
        <v>565</v>
      </c>
      <c r="E149" s="35" t="s">
        <v>566</v>
      </c>
    </row>
    <row r="150" spans="1:5" x14ac:dyDescent="0.2">
      <c r="A150" s="5" t="s">
        <v>710</v>
      </c>
      <c r="B150" s="32" t="s">
        <v>712</v>
      </c>
      <c r="C150" s="33" t="s">
        <v>564</v>
      </c>
      <c r="D150" s="34" t="s">
        <v>565</v>
      </c>
      <c r="E150" s="35" t="s">
        <v>566</v>
      </c>
    </row>
    <row r="151" spans="1:5" x14ac:dyDescent="0.2">
      <c r="A151" s="5" t="s">
        <v>710</v>
      </c>
      <c r="B151" s="32" t="s">
        <v>713</v>
      </c>
      <c r="C151" s="33" t="s">
        <v>564</v>
      </c>
      <c r="D151" s="34" t="s">
        <v>565</v>
      </c>
      <c r="E151" s="35" t="s">
        <v>566</v>
      </c>
    </row>
    <row r="152" spans="1:5" x14ac:dyDescent="0.2">
      <c r="A152" s="5" t="s">
        <v>710</v>
      </c>
      <c r="B152" s="32" t="s">
        <v>714</v>
      </c>
      <c r="C152" s="33" t="s">
        <v>564</v>
      </c>
      <c r="D152" s="34" t="s">
        <v>565</v>
      </c>
      <c r="E152" s="35" t="s">
        <v>566</v>
      </c>
    </row>
    <row r="153" spans="1:5" x14ac:dyDescent="0.2">
      <c r="A153" s="5" t="s">
        <v>710</v>
      </c>
      <c r="B153" s="32" t="s">
        <v>715</v>
      </c>
      <c r="C153" s="36" t="s">
        <v>574</v>
      </c>
      <c r="D153" s="34" t="s">
        <v>565</v>
      </c>
      <c r="E153" s="37" t="s">
        <v>575</v>
      </c>
    </row>
    <row r="154" spans="1:5" x14ac:dyDescent="0.2">
      <c r="A154" s="5" t="s">
        <v>710</v>
      </c>
      <c r="B154" s="32" t="s">
        <v>716</v>
      </c>
      <c r="C154" s="33" t="s">
        <v>564</v>
      </c>
      <c r="D154" s="34" t="s">
        <v>565</v>
      </c>
      <c r="E154" s="35" t="s">
        <v>566</v>
      </c>
    </row>
    <row r="155" spans="1:5" x14ac:dyDescent="0.2">
      <c r="A155" s="5" t="s">
        <v>710</v>
      </c>
      <c r="B155" s="32" t="s">
        <v>717</v>
      </c>
      <c r="C155" s="36" t="s">
        <v>574</v>
      </c>
      <c r="D155" s="34" t="s">
        <v>565</v>
      </c>
      <c r="E155" s="37" t="s">
        <v>575</v>
      </c>
    </row>
    <row r="156" spans="1:5" x14ac:dyDescent="0.2">
      <c r="A156" s="5" t="s">
        <v>710</v>
      </c>
      <c r="B156" s="32" t="s">
        <v>718</v>
      </c>
      <c r="C156" s="36" t="s">
        <v>574</v>
      </c>
      <c r="D156" s="34" t="s">
        <v>565</v>
      </c>
      <c r="E156" s="37" t="s">
        <v>575</v>
      </c>
    </row>
    <row r="157" spans="1:5" x14ac:dyDescent="0.2">
      <c r="A157" s="5" t="s">
        <v>710</v>
      </c>
      <c r="B157" s="32" t="s">
        <v>719</v>
      </c>
      <c r="C157" s="36" t="s">
        <v>574</v>
      </c>
      <c r="D157" s="34" t="s">
        <v>565</v>
      </c>
      <c r="E157" s="37" t="s">
        <v>575</v>
      </c>
    </row>
    <row r="158" spans="1:5" x14ac:dyDescent="0.2">
      <c r="A158" s="5" t="s">
        <v>710</v>
      </c>
      <c r="B158" s="32" t="s">
        <v>720</v>
      </c>
      <c r="C158" s="33" t="s">
        <v>564</v>
      </c>
      <c r="D158" s="34" t="s">
        <v>565</v>
      </c>
      <c r="E158" s="35" t="s">
        <v>566</v>
      </c>
    </row>
    <row r="159" spans="1:5" x14ac:dyDescent="0.2">
      <c r="A159" s="5" t="s">
        <v>430</v>
      </c>
      <c r="B159" s="32" t="s">
        <v>721</v>
      </c>
      <c r="C159" s="33" t="s">
        <v>564</v>
      </c>
      <c r="D159" s="34" t="s">
        <v>565</v>
      </c>
      <c r="E159" s="35" t="s">
        <v>566</v>
      </c>
    </row>
    <row r="160" spans="1:5" x14ac:dyDescent="0.2">
      <c r="A160" s="5" t="s">
        <v>430</v>
      </c>
      <c r="B160" s="32" t="s">
        <v>722</v>
      </c>
      <c r="C160" s="33" t="s">
        <v>564</v>
      </c>
      <c r="D160" s="34" t="s">
        <v>565</v>
      </c>
      <c r="E160" s="35" t="s">
        <v>566</v>
      </c>
    </row>
    <row r="161" spans="1:5" x14ac:dyDescent="0.2">
      <c r="A161" s="5" t="s">
        <v>430</v>
      </c>
      <c r="B161" s="32" t="s">
        <v>723</v>
      </c>
      <c r="C161" s="36" t="s">
        <v>574</v>
      </c>
      <c r="D161" s="34" t="s">
        <v>565</v>
      </c>
      <c r="E161" s="37" t="s">
        <v>575</v>
      </c>
    </row>
    <row r="162" spans="1:5" x14ac:dyDescent="0.2">
      <c r="A162" s="5" t="s">
        <v>430</v>
      </c>
      <c r="B162" s="32" t="s">
        <v>724</v>
      </c>
      <c r="C162" s="33" t="s">
        <v>564</v>
      </c>
      <c r="D162" s="34" t="s">
        <v>565</v>
      </c>
      <c r="E162" s="35" t="s">
        <v>566</v>
      </c>
    </row>
    <row r="163" spans="1:5" x14ac:dyDescent="0.2">
      <c r="A163" s="5" t="s">
        <v>430</v>
      </c>
      <c r="B163" s="32" t="s">
        <v>725</v>
      </c>
      <c r="C163" s="33" t="s">
        <v>564</v>
      </c>
      <c r="D163" s="34" t="s">
        <v>565</v>
      </c>
      <c r="E163" s="35" t="s">
        <v>566</v>
      </c>
    </row>
    <row r="164" spans="1:5" x14ac:dyDescent="0.2">
      <c r="A164" s="5" t="s">
        <v>430</v>
      </c>
      <c r="B164" s="32" t="s">
        <v>726</v>
      </c>
      <c r="C164" s="33" t="s">
        <v>564</v>
      </c>
      <c r="D164" s="34" t="s">
        <v>565</v>
      </c>
      <c r="E164" s="35" t="s">
        <v>566</v>
      </c>
    </row>
    <row r="165" spans="1:5" x14ac:dyDescent="0.2">
      <c r="A165" s="5" t="s">
        <v>430</v>
      </c>
      <c r="B165" s="32" t="s">
        <v>727</v>
      </c>
      <c r="C165" s="36" t="s">
        <v>574</v>
      </c>
      <c r="D165" s="34" t="s">
        <v>565</v>
      </c>
      <c r="E165" s="37" t="s">
        <v>575</v>
      </c>
    </row>
    <row r="166" spans="1:5" x14ac:dyDescent="0.2">
      <c r="A166" s="5" t="s">
        <v>430</v>
      </c>
      <c r="B166" s="32" t="s">
        <v>728</v>
      </c>
      <c r="C166" s="33" t="s">
        <v>564</v>
      </c>
      <c r="D166" s="34" t="s">
        <v>565</v>
      </c>
      <c r="E166" s="35" t="s">
        <v>566</v>
      </c>
    </row>
    <row r="167" spans="1:5" x14ac:dyDescent="0.2">
      <c r="A167" s="5" t="s">
        <v>430</v>
      </c>
      <c r="B167" s="32" t="s">
        <v>729</v>
      </c>
      <c r="C167" s="36" t="s">
        <v>574</v>
      </c>
      <c r="D167" s="34" t="s">
        <v>565</v>
      </c>
      <c r="E167" s="37" t="s">
        <v>575</v>
      </c>
    </row>
    <row r="168" spans="1:5" x14ac:dyDescent="0.2">
      <c r="A168" s="5" t="s">
        <v>430</v>
      </c>
      <c r="B168" s="32" t="s">
        <v>730</v>
      </c>
      <c r="C168" s="33" t="s">
        <v>564</v>
      </c>
      <c r="D168" s="34" t="s">
        <v>565</v>
      </c>
      <c r="E168" s="35" t="s">
        <v>566</v>
      </c>
    </row>
    <row r="169" spans="1:5" x14ac:dyDescent="0.2">
      <c r="A169" s="5" t="s">
        <v>430</v>
      </c>
      <c r="B169" s="32" t="s">
        <v>731</v>
      </c>
      <c r="C169" s="36" t="s">
        <v>574</v>
      </c>
      <c r="D169" s="34" t="s">
        <v>565</v>
      </c>
      <c r="E169" s="37" t="s">
        <v>575</v>
      </c>
    </row>
    <row r="170" spans="1:5" x14ac:dyDescent="0.2">
      <c r="A170" s="5" t="s">
        <v>430</v>
      </c>
      <c r="B170" s="32" t="s">
        <v>732</v>
      </c>
      <c r="C170" s="36" t="s">
        <v>574</v>
      </c>
      <c r="D170" s="34" t="s">
        <v>565</v>
      </c>
      <c r="E170" s="37" t="s">
        <v>575</v>
      </c>
    </row>
    <row r="171" spans="1:5" x14ac:dyDescent="0.2">
      <c r="A171" s="5" t="s">
        <v>733</v>
      </c>
      <c r="B171" s="32" t="s">
        <v>734</v>
      </c>
      <c r="C171" s="33" t="s">
        <v>564</v>
      </c>
      <c r="D171" s="34" t="s">
        <v>565</v>
      </c>
      <c r="E171" s="35" t="s">
        <v>566</v>
      </c>
    </row>
    <row r="172" spans="1:5" x14ac:dyDescent="0.2">
      <c r="A172" s="5" t="s">
        <v>733</v>
      </c>
      <c r="B172" s="32" t="s">
        <v>735</v>
      </c>
      <c r="C172" s="33" t="s">
        <v>564</v>
      </c>
      <c r="D172" s="34" t="s">
        <v>565</v>
      </c>
      <c r="E172" s="35" t="s">
        <v>566</v>
      </c>
    </row>
    <row r="173" spans="1:5" x14ac:dyDescent="0.2">
      <c r="A173" s="5" t="s">
        <v>733</v>
      </c>
      <c r="B173" s="32" t="s">
        <v>736</v>
      </c>
      <c r="C173" s="33" t="s">
        <v>564</v>
      </c>
      <c r="D173" s="34" t="s">
        <v>565</v>
      </c>
      <c r="E173" s="35" t="s">
        <v>566</v>
      </c>
    </row>
    <row r="174" spans="1:5" x14ac:dyDescent="0.2">
      <c r="A174" s="5" t="s">
        <v>733</v>
      </c>
      <c r="B174" s="32" t="s">
        <v>737</v>
      </c>
      <c r="C174" s="33" t="s">
        <v>564</v>
      </c>
      <c r="D174" s="34" t="s">
        <v>565</v>
      </c>
      <c r="E174" s="35" t="s">
        <v>566</v>
      </c>
    </row>
    <row r="175" spans="1:5" x14ac:dyDescent="0.2">
      <c r="A175" s="5" t="s">
        <v>733</v>
      </c>
      <c r="B175" s="32" t="s">
        <v>738</v>
      </c>
      <c r="C175" s="36" t="s">
        <v>574</v>
      </c>
      <c r="D175" s="34" t="s">
        <v>565</v>
      </c>
      <c r="E175" s="37" t="s">
        <v>575</v>
      </c>
    </row>
    <row r="176" spans="1:5" x14ac:dyDescent="0.2">
      <c r="A176" s="5" t="s">
        <v>733</v>
      </c>
      <c r="B176" s="32" t="s">
        <v>739</v>
      </c>
      <c r="C176" s="36" t="s">
        <v>574</v>
      </c>
      <c r="D176" s="34" t="s">
        <v>565</v>
      </c>
      <c r="E176" s="37" t="s">
        <v>575</v>
      </c>
    </row>
    <row r="177" spans="1:5" x14ac:dyDescent="0.2">
      <c r="A177" s="5" t="s">
        <v>733</v>
      </c>
      <c r="B177" s="32" t="s">
        <v>740</v>
      </c>
      <c r="C177" s="33" t="s">
        <v>564</v>
      </c>
      <c r="D177" s="34" t="s">
        <v>565</v>
      </c>
      <c r="E177" s="35" t="s">
        <v>566</v>
      </c>
    </row>
    <row r="178" spans="1:5" x14ac:dyDescent="0.2">
      <c r="A178" s="5" t="s">
        <v>741</v>
      </c>
      <c r="B178" s="32" t="s">
        <v>742</v>
      </c>
      <c r="C178" s="36" t="s">
        <v>574</v>
      </c>
      <c r="D178" s="34" t="s">
        <v>565</v>
      </c>
      <c r="E178" s="37" t="s">
        <v>575</v>
      </c>
    </row>
    <row r="179" spans="1:5" x14ac:dyDescent="0.2">
      <c r="A179" s="5" t="s">
        <v>741</v>
      </c>
      <c r="B179" s="32" t="s">
        <v>743</v>
      </c>
      <c r="C179" s="36" t="s">
        <v>574</v>
      </c>
      <c r="D179" s="34" t="s">
        <v>565</v>
      </c>
      <c r="E179" s="37" t="s">
        <v>575</v>
      </c>
    </row>
    <row r="180" spans="1:5" x14ac:dyDescent="0.2">
      <c r="A180" s="5" t="s">
        <v>741</v>
      </c>
      <c r="B180" s="32" t="s">
        <v>744</v>
      </c>
      <c r="C180" s="36" t="s">
        <v>574</v>
      </c>
      <c r="D180" s="34" t="s">
        <v>565</v>
      </c>
      <c r="E180" s="37" t="s">
        <v>575</v>
      </c>
    </row>
    <row r="181" spans="1:5" x14ac:dyDescent="0.2">
      <c r="A181" s="5" t="s">
        <v>741</v>
      </c>
      <c r="B181" s="32" t="s">
        <v>745</v>
      </c>
      <c r="C181" s="36" t="s">
        <v>574</v>
      </c>
      <c r="D181" s="34" t="s">
        <v>565</v>
      </c>
      <c r="E181" s="37" t="s">
        <v>575</v>
      </c>
    </row>
    <row r="182" spans="1:5" x14ac:dyDescent="0.2">
      <c r="A182" s="5" t="s">
        <v>741</v>
      </c>
      <c r="B182" s="32" t="s">
        <v>746</v>
      </c>
      <c r="C182" s="36" t="s">
        <v>574</v>
      </c>
      <c r="D182" s="34" t="s">
        <v>565</v>
      </c>
      <c r="E182" s="37" t="s">
        <v>575</v>
      </c>
    </row>
    <row r="183" spans="1:5" x14ac:dyDescent="0.2">
      <c r="A183" s="5" t="s">
        <v>741</v>
      </c>
      <c r="B183" s="32" t="s">
        <v>747</v>
      </c>
      <c r="C183" s="36" t="s">
        <v>574</v>
      </c>
      <c r="D183" s="34" t="s">
        <v>565</v>
      </c>
      <c r="E183" s="37" t="s">
        <v>575</v>
      </c>
    </row>
    <row r="184" spans="1:5" x14ac:dyDescent="0.2">
      <c r="A184" s="5" t="s">
        <v>87</v>
      </c>
      <c r="B184" s="32" t="s">
        <v>748</v>
      </c>
      <c r="C184" s="36" t="s">
        <v>574</v>
      </c>
      <c r="D184" s="34" t="s">
        <v>565</v>
      </c>
      <c r="E184" s="37" t="s">
        <v>575</v>
      </c>
    </row>
    <row r="185" spans="1:5" x14ac:dyDescent="0.2">
      <c r="A185" s="5" t="s">
        <v>87</v>
      </c>
      <c r="B185" s="32" t="s">
        <v>749</v>
      </c>
      <c r="C185" s="36" t="s">
        <v>574</v>
      </c>
      <c r="D185" s="34" t="s">
        <v>565</v>
      </c>
      <c r="E185" s="37" t="s">
        <v>575</v>
      </c>
    </row>
    <row r="186" spans="1:5" x14ac:dyDescent="0.2">
      <c r="A186" s="5" t="s">
        <v>87</v>
      </c>
      <c r="B186" s="32" t="s">
        <v>750</v>
      </c>
      <c r="C186" s="36" t="s">
        <v>574</v>
      </c>
      <c r="D186" s="34" t="s">
        <v>565</v>
      </c>
      <c r="E186" s="37" t="s">
        <v>575</v>
      </c>
    </row>
    <row r="187" spans="1:5" x14ac:dyDescent="0.2">
      <c r="A187" s="5" t="s">
        <v>87</v>
      </c>
      <c r="B187" s="32" t="s">
        <v>751</v>
      </c>
      <c r="C187" s="36" t="s">
        <v>574</v>
      </c>
      <c r="D187" s="34" t="s">
        <v>565</v>
      </c>
      <c r="E187" s="37" t="s">
        <v>575</v>
      </c>
    </row>
    <row r="188" spans="1:5" x14ac:dyDescent="0.2">
      <c r="A188" s="5" t="s">
        <v>87</v>
      </c>
      <c r="B188" s="32" t="s">
        <v>752</v>
      </c>
      <c r="C188" s="36" t="s">
        <v>574</v>
      </c>
      <c r="D188" s="34" t="s">
        <v>565</v>
      </c>
      <c r="E188" s="37" t="s">
        <v>575</v>
      </c>
    </row>
    <row r="189" spans="1:5" x14ac:dyDescent="0.2">
      <c r="A189" s="5" t="s">
        <v>87</v>
      </c>
      <c r="B189" s="32" t="s">
        <v>753</v>
      </c>
      <c r="C189" s="36" t="s">
        <v>574</v>
      </c>
      <c r="D189" s="34" t="s">
        <v>565</v>
      </c>
      <c r="E189" s="37" t="s">
        <v>575</v>
      </c>
    </row>
    <row r="190" spans="1:5" x14ac:dyDescent="0.2">
      <c r="A190" s="5" t="s">
        <v>87</v>
      </c>
      <c r="B190" s="32" t="s">
        <v>754</v>
      </c>
      <c r="C190" s="36" t="s">
        <v>574</v>
      </c>
      <c r="D190" s="34" t="s">
        <v>565</v>
      </c>
      <c r="E190" s="37" t="s">
        <v>575</v>
      </c>
    </row>
  </sheetData>
  <autoFilter ref="A13:E190" xr:uid="{00000000-0009-0000-0000-000006000000}"/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"/>
  <sheetViews>
    <sheetView showGridLines="0" workbookViewId="0">
      <pane ySplit="19" topLeftCell="A26" activePane="bottomLeft" state="frozen"/>
      <selection pane="bottomLeft" sqref="A1:G1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48" customWidth="1"/>
    <col min="4" max="4" width="56" customWidth="1"/>
    <col min="5" max="5" width="12" customWidth="1"/>
    <col min="6" max="6" width="11" customWidth="1"/>
    <col min="7" max="7" width="10" customWidth="1"/>
  </cols>
  <sheetData>
    <row r="1" spans="1:7" ht="20" x14ac:dyDescent="0.2">
      <c r="A1" s="61" t="s">
        <v>755</v>
      </c>
      <c r="B1" s="53"/>
      <c r="C1" s="53"/>
      <c r="D1" s="53"/>
      <c r="E1" s="53"/>
      <c r="F1" s="53"/>
      <c r="G1" s="53"/>
    </row>
    <row r="2" spans="1:7" ht="50" customHeight="1" x14ac:dyDescent="0.2">
      <c r="A2" s="62" t="s">
        <v>756</v>
      </c>
      <c r="B2" s="53"/>
      <c r="C2" s="53"/>
      <c r="D2" s="53"/>
      <c r="E2" s="53"/>
      <c r="F2" s="53"/>
      <c r="G2" s="53"/>
    </row>
    <row r="4" spans="1:7" ht="17" x14ac:dyDescent="0.2">
      <c r="A4" s="59" t="s">
        <v>550</v>
      </c>
      <c r="B4" s="53"/>
      <c r="C4" s="53"/>
      <c r="D4" s="53"/>
      <c r="E4" s="53"/>
      <c r="F4" s="53"/>
      <c r="G4" s="53"/>
    </row>
    <row r="6" spans="1:7" ht="30" x14ac:dyDescent="0.2">
      <c r="A6" s="20" t="s">
        <v>757</v>
      </c>
      <c r="B6" s="21">
        <v>40</v>
      </c>
      <c r="C6" s="39" t="s">
        <v>758</v>
      </c>
    </row>
    <row r="7" spans="1:7" ht="18" x14ac:dyDescent="0.2">
      <c r="A7" s="23" t="s">
        <v>759</v>
      </c>
      <c r="B7" s="24">
        <v>40</v>
      </c>
      <c r="C7" s="40" t="s">
        <v>552</v>
      </c>
    </row>
    <row r="8" spans="1:7" ht="30" x14ac:dyDescent="0.2">
      <c r="A8" s="41" t="s">
        <v>760</v>
      </c>
      <c r="B8" s="42">
        <v>0</v>
      </c>
      <c r="C8" s="43" t="s">
        <v>761</v>
      </c>
    </row>
    <row r="9" spans="1:7" ht="18" x14ac:dyDescent="0.2">
      <c r="A9" s="44" t="s">
        <v>762</v>
      </c>
      <c r="B9" s="45">
        <v>0</v>
      </c>
      <c r="C9" s="46" t="s">
        <v>761</v>
      </c>
    </row>
    <row r="10" spans="1:7" ht="30" x14ac:dyDescent="0.2">
      <c r="A10" s="44" t="s">
        <v>763</v>
      </c>
      <c r="B10" s="45">
        <v>0</v>
      </c>
      <c r="C10" s="46" t="s">
        <v>764</v>
      </c>
    </row>
    <row r="11" spans="1:7" ht="30" x14ac:dyDescent="0.2">
      <c r="A11" s="41" t="s">
        <v>765</v>
      </c>
      <c r="B11" s="42">
        <v>0</v>
      </c>
      <c r="C11" s="43" t="s">
        <v>766</v>
      </c>
    </row>
    <row r="12" spans="1:7" ht="30" x14ac:dyDescent="0.2">
      <c r="A12" s="26" t="s">
        <v>767</v>
      </c>
      <c r="B12" s="27">
        <v>0</v>
      </c>
      <c r="C12" s="47" t="s">
        <v>768</v>
      </c>
    </row>
    <row r="14" spans="1:7" ht="17" x14ac:dyDescent="0.2">
      <c r="A14" s="59" t="s">
        <v>769</v>
      </c>
      <c r="B14" s="53"/>
      <c r="C14" s="53"/>
      <c r="D14" s="53"/>
      <c r="E14" s="53"/>
      <c r="F14" s="53"/>
      <c r="G14" s="53"/>
    </row>
    <row r="15" spans="1:7" ht="36" customHeight="1" x14ac:dyDescent="0.2">
      <c r="A15" s="62" t="s">
        <v>770</v>
      </c>
      <c r="B15" s="53"/>
      <c r="C15" s="53"/>
      <c r="D15" s="53"/>
      <c r="E15" s="53"/>
      <c r="F15" s="53"/>
      <c r="G15" s="53"/>
    </row>
    <row r="17" spans="1:7" ht="17" x14ac:dyDescent="0.2">
      <c r="A17" s="59" t="s">
        <v>771</v>
      </c>
      <c r="B17" s="53"/>
      <c r="C17" s="53"/>
      <c r="D17" s="53"/>
      <c r="E17" s="53"/>
      <c r="F17" s="53"/>
      <c r="G17" s="53"/>
    </row>
    <row r="19" spans="1:7" x14ac:dyDescent="0.2">
      <c r="A19" s="1" t="s">
        <v>562</v>
      </c>
      <c r="B19" s="1" t="s">
        <v>772</v>
      </c>
      <c r="C19" s="1" t="s">
        <v>773</v>
      </c>
      <c r="D19" s="1" t="s">
        <v>774</v>
      </c>
      <c r="E19" s="1" t="s">
        <v>4</v>
      </c>
      <c r="F19" s="1" t="s">
        <v>32</v>
      </c>
      <c r="G19" s="1" t="s">
        <v>775</v>
      </c>
    </row>
    <row r="20" spans="1:7" ht="42" customHeight="1" x14ac:dyDescent="0.2">
      <c r="A20" s="48" t="s">
        <v>776</v>
      </c>
      <c r="B20" s="48" t="s">
        <v>777</v>
      </c>
      <c r="C20" s="48" t="s">
        <v>778</v>
      </c>
      <c r="D20" s="48" t="s">
        <v>779</v>
      </c>
      <c r="E20" s="2" t="s">
        <v>8</v>
      </c>
      <c r="F20" s="49" t="s">
        <v>38</v>
      </c>
      <c r="G20" s="50" t="s">
        <v>780</v>
      </c>
    </row>
    <row r="21" spans="1:7" ht="42" customHeight="1" x14ac:dyDescent="0.2">
      <c r="A21" s="48" t="s">
        <v>776</v>
      </c>
      <c r="B21" s="48" t="s">
        <v>781</v>
      </c>
      <c r="C21" s="48" t="s">
        <v>782</v>
      </c>
      <c r="D21" s="48" t="s">
        <v>779</v>
      </c>
      <c r="E21" s="2" t="s">
        <v>8</v>
      </c>
      <c r="F21" s="49" t="s">
        <v>38</v>
      </c>
      <c r="G21" s="50" t="s">
        <v>780</v>
      </c>
    </row>
    <row r="22" spans="1:7" ht="42" customHeight="1" x14ac:dyDescent="0.2">
      <c r="A22" s="48" t="s">
        <v>776</v>
      </c>
      <c r="B22" s="48" t="s">
        <v>783</v>
      </c>
      <c r="C22" s="48" t="s">
        <v>784</v>
      </c>
      <c r="D22" s="48" t="s">
        <v>785</v>
      </c>
      <c r="E22" s="2" t="s">
        <v>8</v>
      </c>
      <c r="F22" s="7" t="s">
        <v>55</v>
      </c>
      <c r="G22" s="50" t="s">
        <v>780</v>
      </c>
    </row>
    <row r="23" spans="1:7" ht="42" customHeight="1" x14ac:dyDescent="0.2">
      <c r="A23" s="48" t="s">
        <v>776</v>
      </c>
      <c r="B23" s="48" t="s">
        <v>786</v>
      </c>
      <c r="C23" s="48" t="s">
        <v>787</v>
      </c>
      <c r="D23" s="48" t="s">
        <v>788</v>
      </c>
      <c r="E23" s="2" t="s">
        <v>8</v>
      </c>
      <c r="F23" s="6" t="s">
        <v>65</v>
      </c>
      <c r="G23" s="50" t="s">
        <v>780</v>
      </c>
    </row>
    <row r="24" spans="1:7" ht="42" customHeight="1" x14ac:dyDescent="0.2">
      <c r="A24" s="48" t="s">
        <v>776</v>
      </c>
      <c r="B24" s="48" t="s">
        <v>789</v>
      </c>
      <c r="C24" s="48" t="s">
        <v>790</v>
      </c>
      <c r="D24" s="48" t="s">
        <v>791</v>
      </c>
      <c r="E24" s="2" t="s">
        <v>8</v>
      </c>
      <c r="F24" s="6" t="s">
        <v>65</v>
      </c>
      <c r="G24" s="50" t="s">
        <v>780</v>
      </c>
    </row>
    <row r="25" spans="1:7" ht="42" customHeight="1" x14ac:dyDescent="0.2">
      <c r="A25" s="48" t="s">
        <v>776</v>
      </c>
      <c r="B25" s="48" t="s">
        <v>792</v>
      </c>
      <c r="C25" s="48" t="s">
        <v>793</v>
      </c>
      <c r="D25" s="48" t="s">
        <v>794</v>
      </c>
      <c r="E25" s="2" t="s">
        <v>8</v>
      </c>
      <c r="F25" s="6" t="s">
        <v>65</v>
      </c>
      <c r="G25" s="50" t="s">
        <v>780</v>
      </c>
    </row>
    <row r="26" spans="1:7" ht="42" customHeight="1" x14ac:dyDescent="0.2">
      <c r="A26" s="48" t="s">
        <v>776</v>
      </c>
      <c r="B26" s="48" t="s">
        <v>795</v>
      </c>
      <c r="C26" s="48" t="s">
        <v>796</v>
      </c>
      <c r="D26" s="48" t="s">
        <v>797</v>
      </c>
      <c r="E26" s="2" t="s">
        <v>8</v>
      </c>
      <c r="F26" s="49" t="s">
        <v>38</v>
      </c>
      <c r="G26" s="50" t="s">
        <v>780</v>
      </c>
    </row>
    <row r="27" spans="1:7" ht="42" customHeight="1" x14ac:dyDescent="0.2">
      <c r="A27" s="48" t="s">
        <v>776</v>
      </c>
      <c r="B27" s="48" t="s">
        <v>798</v>
      </c>
      <c r="C27" s="48" t="s">
        <v>799</v>
      </c>
      <c r="D27" s="48" t="s">
        <v>800</v>
      </c>
      <c r="E27" s="2" t="s">
        <v>8</v>
      </c>
      <c r="F27" s="7" t="s">
        <v>55</v>
      </c>
      <c r="G27" s="50" t="s">
        <v>780</v>
      </c>
    </row>
    <row r="28" spans="1:7" ht="42" customHeight="1" x14ac:dyDescent="0.2">
      <c r="A28" s="48" t="s">
        <v>801</v>
      </c>
      <c r="B28" s="48" t="s">
        <v>802</v>
      </c>
      <c r="C28" s="48" t="s">
        <v>803</v>
      </c>
      <c r="D28" s="48" t="s">
        <v>804</v>
      </c>
      <c r="E28" s="2" t="s">
        <v>8</v>
      </c>
      <c r="F28" s="7" t="s">
        <v>55</v>
      </c>
      <c r="G28" s="51" t="s">
        <v>65</v>
      </c>
    </row>
    <row r="29" spans="1:7" ht="42" customHeight="1" x14ac:dyDescent="0.2">
      <c r="A29" s="48" t="s">
        <v>801</v>
      </c>
      <c r="B29" s="48" t="s">
        <v>805</v>
      </c>
      <c r="C29" s="48" t="s">
        <v>806</v>
      </c>
      <c r="D29" s="48" t="s">
        <v>807</v>
      </c>
      <c r="E29" s="2" t="s">
        <v>8</v>
      </c>
      <c r="F29" s="7" t="s">
        <v>55</v>
      </c>
      <c r="G29" s="50" t="s">
        <v>780</v>
      </c>
    </row>
    <row r="30" spans="1:7" ht="42" customHeight="1" x14ac:dyDescent="0.2">
      <c r="A30" s="48" t="s">
        <v>801</v>
      </c>
      <c r="B30" s="48" t="s">
        <v>808</v>
      </c>
      <c r="C30" s="48" t="s">
        <v>809</v>
      </c>
      <c r="D30" s="48" t="s">
        <v>810</v>
      </c>
      <c r="E30" s="2" t="s">
        <v>8</v>
      </c>
      <c r="F30" s="7" t="s">
        <v>55</v>
      </c>
      <c r="G30" s="50" t="s">
        <v>780</v>
      </c>
    </row>
    <row r="31" spans="1:7" ht="42" customHeight="1" x14ac:dyDescent="0.2">
      <c r="A31" s="48" t="s">
        <v>801</v>
      </c>
      <c r="B31" s="48" t="s">
        <v>811</v>
      </c>
      <c r="C31" s="48" t="s">
        <v>812</v>
      </c>
      <c r="D31" s="48" t="s">
        <v>813</v>
      </c>
      <c r="E31" s="2" t="s">
        <v>8</v>
      </c>
      <c r="F31" s="6" t="s">
        <v>65</v>
      </c>
      <c r="G31" s="50" t="s">
        <v>780</v>
      </c>
    </row>
    <row r="32" spans="1:7" ht="42" customHeight="1" x14ac:dyDescent="0.2">
      <c r="A32" s="48" t="s">
        <v>801</v>
      </c>
      <c r="B32" s="48" t="s">
        <v>814</v>
      </c>
      <c r="C32" s="48" t="s">
        <v>815</v>
      </c>
      <c r="D32" s="48" t="s">
        <v>816</v>
      </c>
      <c r="E32" s="2" t="s">
        <v>8</v>
      </c>
      <c r="F32" s="6" t="s">
        <v>65</v>
      </c>
      <c r="G32" s="50" t="s">
        <v>780</v>
      </c>
    </row>
    <row r="33" spans="1:7" ht="42" customHeight="1" x14ac:dyDescent="0.2">
      <c r="A33" s="48" t="s">
        <v>801</v>
      </c>
      <c r="B33" s="48" t="s">
        <v>817</v>
      </c>
      <c r="C33" s="48" t="s">
        <v>818</v>
      </c>
      <c r="D33" s="48" t="s">
        <v>819</v>
      </c>
      <c r="E33" s="2" t="s">
        <v>8</v>
      </c>
      <c r="F33" s="49" t="s">
        <v>38</v>
      </c>
      <c r="G33" s="50" t="s">
        <v>780</v>
      </c>
    </row>
    <row r="34" spans="1:7" ht="42" customHeight="1" x14ac:dyDescent="0.2">
      <c r="A34" s="48" t="s">
        <v>801</v>
      </c>
      <c r="B34" s="48" t="s">
        <v>820</v>
      </c>
      <c r="C34" s="48" t="s">
        <v>821</v>
      </c>
      <c r="D34" s="48" t="s">
        <v>822</v>
      </c>
      <c r="E34" s="2" t="s">
        <v>8</v>
      </c>
      <c r="F34" s="7" t="s">
        <v>55</v>
      </c>
      <c r="G34" s="51" t="s">
        <v>65</v>
      </c>
    </row>
    <row r="35" spans="1:7" ht="42" customHeight="1" x14ac:dyDescent="0.2">
      <c r="A35" s="48" t="s">
        <v>823</v>
      </c>
      <c r="B35" s="48" t="s">
        <v>824</v>
      </c>
      <c r="C35" s="48" t="s">
        <v>825</v>
      </c>
      <c r="D35" s="48" t="s">
        <v>826</v>
      </c>
      <c r="E35" s="2" t="s">
        <v>8</v>
      </c>
      <c r="F35" s="49" t="s">
        <v>38</v>
      </c>
      <c r="G35" s="50" t="s">
        <v>780</v>
      </c>
    </row>
    <row r="36" spans="1:7" ht="42" customHeight="1" x14ac:dyDescent="0.2">
      <c r="A36" s="48" t="s">
        <v>823</v>
      </c>
      <c r="B36" s="48" t="s">
        <v>827</v>
      </c>
      <c r="C36" s="48" t="s">
        <v>828</v>
      </c>
      <c r="D36" s="48" t="s">
        <v>829</v>
      </c>
      <c r="E36" s="2" t="s">
        <v>8</v>
      </c>
      <c r="F36" s="7" t="s">
        <v>55</v>
      </c>
      <c r="G36" s="51" t="s">
        <v>65</v>
      </c>
    </row>
    <row r="37" spans="1:7" ht="42" customHeight="1" x14ac:dyDescent="0.2">
      <c r="A37" s="48" t="s">
        <v>823</v>
      </c>
      <c r="B37" s="48" t="s">
        <v>830</v>
      </c>
      <c r="C37" s="48" t="s">
        <v>831</v>
      </c>
      <c r="D37" s="48" t="s">
        <v>832</v>
      </c>
      <c r="E37" s="2" t="s">
        <v>8</v>
      </c>
      <c r="F37" s="7" t="s">
        <v>55</v>
      </c>
      <c r="G37" s="50" t="s">
        <v>780</v>
      </c>
    </row>
    <row r="38" spans="1:7" ht="42" customHeight="1" x14ac:dyDescent="0.2">
      <c r="A38" s="48" t="s">
        <v>823</v>
      </c>
      <c r="B38" s="48" t="s">
        <v>833</v>
      </c>
      <c r="C38" s="48" t="s">
        <v>834</v>
      </c>
      <c r="D38" s="48" t="s">
        <v>835</v>
      </c>
      <c r="E38" s="2" t="s">
        <v>8</v>
      </c>
      <c r="F38" s="7" t="s">
        <v>55</v>
      </c>
      <c r="G38" s="50" t="s">
        <v>780</v>
      </c>
    </row>
    <row r="39" spans="1:7" ht="42" customHeight="1" x14ac:dyDescent="0.2">
      <c r="A39" s="48" t="s">
        <v>823</v>
      </c>
      <c r="B39" s="48" t="s">
        <v>836</v>
      </c>
      <c r="C39" s="48" t="s">
        <v>837</v>
      </c>
      <c r="D39" s="48" t="s">
        <v>838</v>
      </c>
      <c r="E39" s="2" t="s">
        <v>8</v>
      </c>
      <c r="F39" s="6" t="s">
        <v>65</v>
      </c>
      <c r="G39" s="50" t="s">
        <v>780</v>
      </c>
    </row>
    <row r="40" spans="1:7" ht="42" customHeight="1" x14ac:dyDescent="0.2">
      <c r="A40" s="48" t="s">
        <v>823</v>
      </c>
      <c r="B40" s="48" t="s">
        <v>839</v>
      </c>
      <c r="C40" s="48" t="s">
        <v>840</v>
      </c>
      <c r="D40" s="48" t="s">
        <v>841</v>
      </c>
      <c r="E40" s="2" t="s">
        <v>8</v>
      </c>
      <c r="F40" s="6" t="s">
        <v>65</v>
      </c>
      <c r="G40" s="50" t="s">
        <v>780</v>
      </c>
    </row>
    <row r="41" spans="1:7" ht="42" customHeight="1" x14ac:dyDescent="0.2">
      <c r="A41" s="48" t="s">
        <v>823</v>
      </c>
      <c r="B41" s="48" t="s">
        <v>842</v>
      </c>
      <c r="C41" s="48" t="s">
        <v>843</v>
      </c>
      <c r="D41" s="48" t="s">
        <v>844</v>
      </c>
      <c r="E41" s="2" t="s">
        <v>8</v>
      </c>
      <c r="F41" s="49" t="s">
        <v>38</v>
      </c>
      <c r="G41" s="50" t="s">
        <v>780</v>
      </c>
    </row>
    <row r="42" spans="1:7" ht="42" customHeight="1" x14ac:dyDescent="0.2">
      <c r="A42" s="48" t="s">
        <v>845</v>
      </c>
      <c r="B42" s="48" t="s">
        <v>846</v>
      </c>
      <c r="C42" s="48" t="s">
        <v>847</v>
      </c>
      <c r="D42" s="48" t="s">
        <v>848</v>
      </c>
      <c r="E42" s="2" t="s">
        <v>8</v>
      </c>
      <c r="F42" s="6" t="s">
        <v>65</v>
      </c>
      <c r="G42" s="50" t="s">
        <v>780</v>
      </c>
    </row>
    <row r="43" spans="1:7" ht="42" customHeight="1" x14ac:dyDescent="0.2">
      <c r="A43" s="48" t="s">
        <v>845</v>
      </c>
      <c r="B43" s="48" t="s">
        <v>849</v>
      </c>
      <c r="C43" s="48" t="s">
        <v>850</v>
      </c>
      <c r="D43" s="48" t="s">
        <v>851</v>
      </c>
      <c r="E43" s="2" t="s">
        <v>8</v>
      </c>
      <c r="F43" s="6" t="s">
        <v>65</v>
      </c>
      <c r="G43" s="50" t="s">
        <v>780</v>
      </c>
    </row>
    <row r="44" spans="1:7" ht="42" customHeight="1" x14ac:dyDescent="0.2">
      <c r="A44" s="48" t="s">
        <v>845</v>
      </c>
      <c r="B44" s="48" t="s">
        <v>852</v>
      </c>
      <c r="C44" s="48" t="s">
        <v>853</v>
      </c>
      <c r="D44" s="48" t="s">
        <v>854</v>
      </c>
      <c r="E44" s="2" t="s">
        <v>8</v>
      </c>
      <c r="F44" s="6" t="s">
        <v>65</v>
      </c>
      <c r="G44" s="50" t="s">
        <v>780</v>
      </c>
    </row>
    <row r="45" spans="1:7" ht="42" customHeight="1" x14ac:dyDescent="0.2">
      <c r="A45" s="48" t="s">
        <v>845</v>
      </c>
      <c r="B45" s="48" t="s">
        <v>855</v>
      </c>
      <c r="C45" s="48" t="s">
        <v>856</v>
      </c>
      <c r="D45" s="48" t="s">
        <v>857</v>
      </c>
      <c r="E45" s="2" t="s">
        <v>8</v>
      </c>
      <c r="F45" s="49" t="s">
        <v>38</v>
      </c>
      <c r="G45" s="50" t="s">
        <v>780</v>
      </c>
    </row>
    <row r="46" spans="1:7" ht="42" customHeight="1" x14ac:dyDescent="0.2">
      <c r="A46" s="48" t="s">
        <v>858</v>
      </c>
      <c r="B46" s="48" t="s">
        <v>859</v>
      </c>
      <c r="C46" s="48" t="s">
        <v>860</v>
      </c>
      <c r="D46" s="48" t="s">
        <v>861</v>
      </c>
      <c r="E46" s="2" t="s">
        <v>8</v>
      </c>
      <c r="F46" s="7" t="s">
        <v>55</v>
      </c>
      <c r="G46" s="50" t="s">
        <v>780</v>
      </c>
    </row>
    <row r="47" spans="1:7" ht="42" customHeight="1" x14ac:dyDescent="0.2">
      <c r="A47" s="48" t="s">
        <v>858</v>
      </c>
      <c r="B47" s="48" t="s">
        <v>862</v>
      </c>
      <c r="C47" s="48" t="s">
        <v>863</v>
      </c>
      <c r="D47" s="48" t="s">
        <v>864</v>
      </c>
      <c r="E47" s="2" t="s">
        <v>8</v>
      </c>
      <c r="F47" s="6" t="s">
        <v>65</v>
      </c>
      <c r="G47" s="50" t="s">
        <v>780</v>
      </c>
    </row>
    <row r="48" spans="1:7" ht="42" customHeight="1" x14ac:dyDescent="0.2">
      <c r="A48" s="48" t="s">
        <v>858</v>
      </c>
      <c r="B48" s="48" t="s">
        <v>865</v>
      </c>
      <c r="C48" s="48" t="s">
        <v>866</v>
      </c>
      <c r="D48" s="48" t="s">
        <v>867</v>
      </c>
      <c r="E48" s="2" t="s">
        <v>8</v>
      </c>
      <c r="F48" s="49" t="s">
        <v>38</v>
      </c>
      <c r="G48" s="50" t="s">
        <v>780</v>
      </c>
    </row>
    <row r="49" spans="1:7" ht="42" customHeight="1" x14ac:dyDescent="0.2">
      <c r="A49" s="48" t="s">
        <v>868</v>
      </c>
      <c r="B49" s="48" t="s">
        <v>869</v>
      </c>
      <c r="C49" s="48" t="s">
        <v>870</v>
      </c>
      <c r="D49" s="48" t="s">
        <v>871</v>
      </c>
      <c r="E49" s="2" t="s">
        <v>8</v>
      </c>
      <c r="F49" s="7" t="s">
        <v>55</v>
      </c>
      <c r="G49" s="50" t="s">
        <v>780</v>
      </c>
    </row>
    <row r="50" spans="1:7" ht="42" customHeight="1" x14ac:dyDescent="0.2">
      <c r="A50" s="48" t="s">
        <v>868</v>
      </c>
      <c r="B50" s="48" t="s">
        <v>872</v>
      </c>
      <c r="C50" s="48" t="s">
        <v>873</v>
      </c>
      <c r="D50" s="48" t="s">
        <v>874</v>
      </c>
      <c r="E50" s="2" t="s">
        <v>8</v>
      </c>
      <c r="F50" s="7" t="s">
        <v>55</v>
      </c>
      <c r="G50" s="50" t="s">
        <v>780</v>
      </c>
    </row>
    <row r="51" spans="1:7" ht="42" customHeight="1" x14ac:dyDescent="0.2">
      <c r="A51" s="48" t="s">
        <v>868</v>
      </c>
      <c r="B51" s="48" t="s">
        <v>875</v>
      </c>
      <c r="C51" s="48" t="s">
        <v>876</v>
      </c>
      <c r="D51" s="48" t="s">
        <v>877</v>
      </c>
      <c r="E51" s="2" t="s">
        <v>8</v>
      </c>
      <c r="F51" s="6" t="s">
        <v>65</v>
      </c>
      <c r="G51" s="50" t="s">
        <v>780</v>
      </c>
    </row>
    <row r="52" spans="1:7" ht="42" customHeight="1" x14ac:dyDescent="0.2">
      <c r="A52" s="48" t="s">
        <v>878</v>
      </c>
      <c r="B52" s="48" t="s">
        <v>879</v>
      </c>
      <c r="C52" s="48" t="s">
        <v>880</v>
      </c>
      <c r="D52" s="48" t="s">
        <v>881</v>
      </c>
      <c r="E52" s="2" t="s">
        <v>8</v>
      </c>
      <c r="F52" s="6" t="s">
        <v>65</v>
      </c>
      <c r="G52" s="50" t="s">
        <v>780</v>
      </c>
    </row>
    <row r="53" spans="1:7" ht="42" customHeight="1" x14ac:dyDescent="0.2">
      <c r="A53" s="48" t="s">
        <v>878</v>
      </c>
      <c r="B53" s="48" t="s">
        <v>882</v>
      </c>
      <c r="C53" s="48" t="s">
        <v>883</v>
      </c>
      <c r="D53" s="48" t="s">
        <v>884</v>
      </c>
      <c r="E53" s="2" t="s">
        <v>8</v>
      </c>
      <c r="F53" s="6" t="s">
        <v>65</v>
      </c>
      <c r="G53" s="50" t="s">
        <v>780</v>
      </c>
    </row>
    <row r="54" spans="1:7" ht="42" customHeight="1" x14ac:dyDescent="0.2">
      <c r="A54" s="48" t="s">
        <v>878</v>
      </c>
      <c r="B54" s="48" t="s">
        <v>885</v>
      </c>
      <c r="C54" s="48" t="s">
        <v>886</v>
      </c>
      <c r="D54" s="48" t="s">
        <v>887</v>
      </c>
      <c r="E54" s="2" t="s">
        <v>8</v>
      </c>
      <c r="F54" s="49" t="s">
        <v>38</v>
      </c>
      <c r="G54" s="50" t="s">
        <v>780</v>
      </c>
    </row>
    <row r="55" spans="1:7" ht="42" customHeight="1" x14ac:dyDescent="0.2">
      <c r="A55" s="48" t="s">
        <v>888</v>
      </c>
      <c r="B55" s="48" t="s">
        <v>889</v>
      </c>
      <c r="C55" s="48" t="s">
        <v>890</v>
      </c>
      <c r="D55" s="48" t="s">
        <v>891</v>
      </c>
      <c r="E55" s="2" t="s">
        <v>8</v>
      </c>
      <c r="F55" s="49" t="s">
        <v>38</v>
      </c>
      <c r="G55" s="50" t="s">
        <v>780</v>
      </c>
    </row>
    <row r="56" spans="1:7" ht="42" customHeight="1" x14ac:dyDescent="0.2">
      <c r="A56" s="48" t="s">
        <v>888</v>
      </c>
      <c r="B56" s="48" t="s">
        <v>892</v>
      </c>
      <c r="C56" s="48" t="s">
        <v>893</v>
      </c>
      <c r="D56" s="48" t="s">
        <v>894</v>
      </c>
      <c r="E56" s="2" t="s">
        <v>8</v>
      </c>
      <c r="F56" s="6" t="s">
        <v>65</v>
      </c>
      <c r="G56" s="50" t="s">
        <v>780</v>
      </c>
    </row>
    <row r="57" spans="1:7" ht="42" customHeight="1" x14ac:dyDescent="0.2">
      <c r="A57" s="48" t="s">
        <v>888</v>
      </c>
      <c r="B57" s="48" t="s">
        <v>895</v>
      </c>
      <c r="C57" s="48" t="s">
        <v>896</v>
      </c>
      <c r="D57" s="48" t="s">
        <v>897</v>
      </c>
      <c r="E57" s="2" t="s">
        <v>8</v>
      </c>
      <c r="F57" s="49" t="s">
        <v>38</v>
      </c>
      <c r="G57" s="50" t="s">
        <v>780</v>
      </c>
    </row>
    <row r="58" spans="1:7" ht="42" customHeight="1" x14ac:dyDescent="0.2">
      <c r="A58" s="48" t="s">
        <v>888</v>
      </c>
      <c r="B58" s="48" t="s">
        <v>898</v>
      </c>
      <c r="C58" s="48" t="s">
        <v>899</v>
      </c>
      <c r="D58" s="48" t="s">
        <v>900</v>
      </c>
      <c r="E58" s="2" t="s">
        <v>8</v>
      </c>
      <c r="F58" s="6" t="s">
        <v>65</v>
      </c>
      <c r="G58" s="51" t="s">
        <v>65</v>
      </c>
    </row>
    <row r="59" spans="1:7" ht="42" customHeight="1" x14ac:dyDescent="0.2">
      <c r="A59" s="48" t="s">
        <v>888</v>
      </c>
      <c r="B59" s="48" t="s">
        <v>901</v>
      </c>
      <c r="C59" s="48" t="s">
        <v>902</v>
      </c>
      <c r="D59" s="48" t="s">
        <v>903</v>
      </c>
      <c r="E59" s="2" t="s">
        <v>8</v>
      </c>
      <c r="F59" s="49" t="s">
        <v>38</v>
      </c>
      <c r="G59" s="51" t="s">
        <v>65</v>
      </c>
    </row>
  </sheetData>
  <autoFilter ref="A19:G59" xr:uid="{00000000-0009-0000-0000-000007000000}"/>
  <mergeCells count="6">
    <mergeCell ref="A14:G14"/>
    <mergeCell ref="A1:G1"/>
    <mergeCell ref="A17:G17"/>
    <mergeCell ref="A4:G4"/>
    <mergeCell ref="A2:G2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5"/>
  <sheetViews>
    <sheetView showGridLines="0" tabSelected="1" workbookViewId="0">
      <pane ySplit="19" topLeftCell="A64" activePane="bottomLeft" state="frozen"/>
      <selection pane="bottomLeft" activeCell="B21" sqref="B21"/>
    </sheetView>
  </sheetViews>
  <sheetFormatPr baseColWidth="10" defaultColWidth="8.83203125" defaultRowHeight="15" x14ac:dyDescent="0.2"/>
  <cols>
    <col min="1" max="1" width="18" customWidth="1"/>
    <col min="2" max="2" width="42" customWidth="1"/>
    <col min="3" max="3" width="48" customWidth="1"/>
    <col min="4" max="4" width="56" customWidth="1"/>
    <col min="5" max="5" width="12" customWidth="1"/>
    <col min="6" max="6" width="11" customWidth="1"/>
    <col min="7" max="7" width="10" customWidth="1"/>
  </cols>
  <sheetData>
    <row r="1" spans="1:7" ht="20" x14ac:dyDescent="0.2">
      <c r="A1" s="61" t="s">
        <v>904</v>
      </c>
      <c r="B1" s="53"/>
      <c r="C1" s="53"/>
      <c r="D1" s="53"/>
      <c r="E1" s="53"/>
      <c r="F1" s="53"/>
      <c r="G1" s="53"/>
    </row>
    <row r="2" spans="1:7" ht="60" customHeight="1" x14ac:dyDescent="0.2">
      <c r="A2" s="62" t="s">
        <v>905</v>
      </c>
      <c r="B2" s="53"/>
      <c r="C2" s="53"/>
      <c r="D2" s="53"/>
      <c r="E2" s="53"/>
      <c r="F2" s="53"/>
      <c r="G2" s="53"/>
    </row>
    <row r="4" spans="1:7" ht="17" x14ac:dyDescent="0.2">
      <c r="A4" s="59" t="s">
        <v>550</v>
      </c>
      <c r="B4" s="53"/>
      <c r="C4" s="53"/>
      <c r="D4" s="53"/>
      <c r="E4" s="53"/>
      <c r="F4" s="53"/>
      <c r="G4" s="53"/>
    </row>
    <row r="6" spans="1:7" ht="30" x14ac:dyDescent="0.2">
      <c r="A6" s="20" t="s">
        <v>757</v>
      </c>
      <c r="B6" s="21">
        <v>56</v>
      </c>
      <c r="C6" s="39" t="s">
        <v>758</v>
      </c>
    </row>
    <row r="7" spans="1:7" ht="18" x14ac:dyDescent="0.2">
      <c r="A7" s="23" t="s">
        <v>759</v>
      </c>
      <c r="B7" s="24">
        <v>26</v>
      </c>
      <c r="C7" s="40" t="s">
        <v>906</v>
      </c>
    </row>
    <row r="8" spans="1:7" ht="30" x14ac:dyDescent="0.2">
      <c r="A8" s="41" t="s">
        <v>760</v>
      </c>
      <c r="B8" s="42">
        <v>3</v>
      </c>
      <c r="C8" s="43" t="s">
        <v>907</v>
      </c>
    </row>
    <row r="9" spans="1:7" ht="18" x14ac:dyDescent="0.2">
      <c r="A9" s="44" t="s">
        <v>762</v>
      </c>
      <c r="B9" s="45">
        <v>27</v>
      </c>
      <c r="C9" s="46" t="s">
        <v>908</v>
      </c>
    </row>
    <row r="10" spans="1:7" ht="30" x14ac:dyDescent="0.2">
      <c r="A10" s="44" t="s">
        <v>763</v>
      </c>
      <c r="B10" s="45">
        <v>0</v>
      </c>
      <c r="C10" s="46" t="s">
        <v>764</v>
      </c>
    </row>
    <row r="11" spans="1:7" ht="30" x14ac:dyDescent="0.2">
      <c r="A11" s="41" t="s">
        <v>765</v>
      </c>
      <c r="B11" s="42">
        <v>16</v>
      </c>
      <c r="C11" s="43" t="s">
        <v>766</v>
      </c>
    </row>
    <row r="12" spans="1:7" ht="30" x14ac:dyDescent="0.2">
      <c r="A12" s="26" t="s">
        <v>767</v>
      </c>
      <c r="B12" s="27">
        <v>14</v>
      </c>
      <c r="C12" s="47" t="s">
        <v>768</v>
      </c>
    </row>
    <row r="14" spans="1:7" ht="17" x14ac:dyDescent="0.2">
      <c r="A14" s="59" t="s">
        <v>769</v>
      </c>
      <c r="B14" s="53"/>
      <c r="C14" s="53"/>
      <c r="D14" s="53"/>
      <c r="E14" s="53"/>
      <c r="F14" s="53"/>
      <c r="G14" s="53"/>
    </row>
    <row r="15" spans="1:7" ht="54" customHeight="1" x14ac:dyDescent="0.2">
      <c r="A15" s="62" t="s">
        <v>909</v>
      </c>
      <c r="B15" s="53"/>
      <c r="C15" s="53"/>
      <c r="D15" s="53"/>
      <c r="E15" s="53"/>
      <c r="F15" s="53"/>
      <c r="G15" s="53"/>
    </row>
    <row r="17" spans="1:7" ht="17" x14ac:dyDescent="0.2">
      <c r="A17" s="59" t="s">
        <v>771</v>
      </c>
      <c r="B17" s="53"/>
      <c r="C17" s="53"/>
      <c r="D17" s="53"/>
      <c r="E17" s="53"/>
      <c r="F17" s="53"/>
      <c r="G17" s="53"/>
    </row>
    <row r="19" spans="1:7" x14ac:dyDescent="0.2">
      <c r="A19" s="1" t="s">
        <v>562</v>
      </c>
      <c r="B19" s="1" t="s">
        <v>772</v>
      </c>
      <c r="C19" s="1" t="s">
        <v>773</v>
      </c>
      <c r="D19" s="1" t="s">
        <v>774</v>
      </c>
      <c r="E19" s="1" t="s">
        <v>4</v>
      </c>
      <c r="F19" s="1" t="s">
        <v>32</v>
      </c>
      <c r="G19" s="1" t="s">
        <v>775</v>
      </c>
    </row>
    <row r="20" spans="1:7" ht="44" customHeight="1" x14ac:dyDescent="0.2">
      <c r="A20" s="48" t="s">
        <v>776</v>
      </c>
      <c r="B20" s="48" t="s">
        <v>910</v>
      </c>
      <c r="C20" s="48" t="s">
        <v>911</v>
      </c>
      <c r="D20" s="48" t="s">
        <v>912</v>
      </c>
      <c r="E20" s="2" t="s">
        <v>8</v>
      </c>
      <c r="F20" s="49" t="s">
        <v>38</v>
      </c>
      <c r="G20" s="50" t="s">
        <v>780</v>
      </c>
    </row>
    <row r="21" spans="1:7" ht="44" customHeight="1" x14ac:dyDescent="0.2">
      <c r="A21" s="48" t="s">
        <v>776</v>
      </c>
      <c r="B21" s="48"/>
      <c r="C21" s="48" t="s">
        <v>913</v>
      </c>
      <c r="D21" s="48" t="s">
        <v>914</v>
      </c>
      <c r="E21" s="2" t="s">
        <v>8</v>
      </c>
      <c r="F21" s="49" t="s">
        <v>38</v>
      </c>
      <c r="G21" s="50" t="s">
        <v>780</v>
      </c>
    </row>
    <row r="22" spans="1:7" ht="44" customHeight="1" x14ac:dyDescent="0.2">
      <c r="A22" s="48" t="s">
        <v>776</v>
      </c>
      <c r="B22" s="48" t="s">
        <v>915</v>
      </c>
      <c r="C22" s="48" t="s">
        <v>916</v>
      </c>
      <c r="D22" s="48" t="s">
        <v>917</v>
      </c>
      <c r="E22" s="2" t="s">
        <v>8</v>
      </c>
      <c r="F22" s="7" t="s">
        <v>55</v>
      </c>
      <c r="G22" s="50" t="s">
        <v>780</v>
      </c>
    </row>
    <row r="23" spans="1:7" ht="44" customHeight="1" x14ac:dyDescent="0.2">
      <c r="A23" s="48" t="s">
        <v>776</v>
      </c>
      <c r="B23" s="48" t="s">
        <v>918</v>
      </c>
      <c r="C23" s="48" t="s">
        <v>919</v>
      </c>
      <c r="D23" s="48" t="s">
        <v>920</v>
      </c>
      <c r="E23" s="6" t="s">
        <v>10</v>
      </c>
      <c r="F23" s="6" t="s">
        <v>65</v>
      </c>
      <c r="G23" s="50" t="s">
        <v>780</v>
      </c>
    </row>
    <row r="24" spans="1:7" ht="44" customHeight="1" x14ac:dyDescent="0.2">
      <c r="A24" s="48" t="s">
        <v>776</v>
      </c>
      <c r="B24" s="48" t="s">
        <v>921</v>
      </c>
      <c r="C24" s="48" t="s">
        <v>922</v>
      </c>
      <c r="D24" s="48" t="s">
        <v>923</v>
      </c>
      <c r="E24" s="7" t="s">
        <v>12</v>
      </c>
      <c r="F24" s="6" t="s">
        <v>65</v>
      </c>
      <c r="G24" s="50" t="s">
        <v>780</v>
      </c>
    </row>
    <row r="25" spans="1:7" ht="44" customHeight="1" x14ac:dyDescent="0.2">
      <c r="A25" s="48" t="s">
        <v>776</v>
      </c>
      <c r="B25" s="48" t="s">
        <v>924</v>
      </c>
      <c r="C25" s="48" t="s">
        <v>925</v>
      </c>
      <c r="D25" s="48" t="s">
        <v>926</v>
      </c>
      <c r="E25" s="7" t="s">
        <v>12</v>
      </c>
      <c r="F25" s="6" t="s">
        <v>65</v>
      </c>
      <c r="G25" s="50" t="s">
        <v>780</v>
      </c>
    </row>
    <row r="26" spans="1:7" ht="44" customHeight="1" x14ac:dyDescent="0.2">
      <c r="A26" s="48" t="s">
        <v>776</v>
      </c>
      <c r="B26" s="48" t="s">
        <v>927</v>
      </c>
      <c r="C26" s="48" t="s">
        <v>928</v>
      </c>
      <c r="D26" s="48" t="s">
        <v>929</v>
      </c>
      <c r="E26" s="7" t="s">
        <v>12</v>
      </c>
      <c r="F26" s="6" t="s">
        <v>65</v>
      </c>
      <c r="G26" s="50" t="s">
        <v>780</v>
      </c>
    </row>
    <row r="27" spans="1:7" ht="44" customHeight="1" x14ac:dyDescent="0.2">
      <c r="A27" s="48" t="s">
        <v>776</v>
      </c>
      <c r="B27" s="48" t="s">
        <v>930</v>
      </c>
      <c r="C27" s="48" t="s">
        <v>931</v>
      </c>
      <c r="D27" s="48" t="s">
        <v>932</v>
      </c>
      <c r="E27" s="7" t="s">
        <v>12</v>
      </c>
      <c r="F27" s="6" t="s">
        <v>65</v>
      </c>
      <c r="G27" s="50" t="s">
        <v>780</v>
      </c>
    </row>
    <row r="28" spans="1:7" ht="44" customHeight="1" x14ac:dyDescent="0.2">
      <c r="A28" s="48" t="s">
        <v>776</v>
      </c>
      <c r="B28" s="48" t="s">
        <v>933</v>
      </c>
      <c r="C28" s="48" t="s">
        <v>934</v>
      </c>
      <c r="D28" s="48" t="s">
        <v>935</v>
      </c>
      <c r="E28" s="7" t="s">
        <v>12</v>
      </c>
      <c r="F28" s="6" t="s">
        <v>65</v>
      </c>
      <c r="G28" s="51" t="s">
        <v>65</v>
      </c>
    </row>
    <row r="29" spans="1:7" ht="44" customHeight="1" x14ac:dyDescent="0.2">
      <c r="A29" s="48" t="s">
        <v>776</v>
      </c>
      <c r="B29" s="48" t="s">
        <v>936</v>
      </c>
      <c r="C29" s="48" t="s">
        <v>937</v>
      </c>
      <c r="D29" s="48" t="s">
        <v>938</v>
      </c>
      <c r="E29" s="7" t="s">
        <v>12</v>
      </c>
      <c r="F29" s="49" t="s">
        <v>38</v>
      </c>
      <c r="G29" s="50" t="s">
        <v>780</v>
      </c>
    </row>
    <row r="30" spans="1:7" ht="44" customHeight="1" x14ac:dyDescent="0.2">
      <c r="A30" s="48" t="s">
        <v>776</v>
      </c>
      <c r="B30" s="48" t="s">
        <v>939</v>
      </c>
      <c r="C30" s="48" t="s">
        <v>940</v>
      </c>
      <c r="D30" s="48" t="s">
        <v>941</v>
      </c>
      <c r="E30" s="7" t="s">
        <v>12</v>
      </c>
      <c r="F30" s="49" t="s">
        <v>38</v>
      </c>
      <c r="G30" s="51" t="s">
        <v>65</v>
      </c>
    </row>
    <row r="31" spans="1:7" ht="44" customHeight="1" x14ac:dyDescent="0.2">
      <c r="A31" s="48" t="s">
        <v>801</v>
      </c>
      <c r="B31" s="48" t="s">
        <v>942</v>
      </c>
      <c r="C31" s="48" t="s">
        <v>943</v>
      </c>
      <c r="D31" s="48" t="s">
        <v>944</v>
      </c>
      <c r="E31" s="2" t="s">
        <v>8</v>
      </c>
      <c r="F31" s="49" t="s">
        <v>38</v>
      </c>
      <c r="G31" s="50" t="s">
        <v>780</v>
      </c>
    </row>
    <row r="32" spans="1:7" ht="44" customHeight="1" x14ac:dyDescent="0.2">
      <c r="A32" s="48" t="s">
        <v>801</v>
      </c>
      <c r="B32" s="48" t="s">
        <v>945</v>
      </c>
      <c r="C32" s="48" t="s">
        <v>946</v>
      </c>
      <c r="D32" s="48" t="s">
        <v>947</v>
      </c>
      <c r="E32" s="2" t="s">
        <v>8</v>
      </c>
      <c r="F32" s="7" t="s">
        <v>55</v>
      </c>
      <c r="G32" s="50" t="s">
        <v>780</v>
      </c>
    </row>
    <row r="33" spans="1:7" ht="44" customHeight="1" x14ac:dyDescent="0.2">
      <c r="A33" s="48" t="s">
        <v>801</v>
      </c>
      <c r="B33" s="48" t="s">
        <v>948</v>
      </c>
      <c r="C33" s="48" t="s">
        <v>949</v>
      </c>
      <c r="D33" s="48" t="s">
        <v>950</v>
      </c>
      <c r="E33" s="2" t="s">
        <v>8</v>
      </c>
      <c r="F33" s="7" t="s">
        <v>55</v>
      </c>
      <c r="G33" s="51" t="s">
        <v>65</v>
      </c>
    </row>
    <row r="34" spans="1:7" ht="44" customHeight="1" x14ac:dyDescent="0.2">
      <c r="A34" s="48" t="s">
        <v>801</v>
      </c>
      <c r="B34" s="48" t="s">
        <v>951</v>
      </c>
      <c r="C34" s="48" t="s">
        <v>940</v>
      </c>
      <c r="D34" s="48" t="s">
        <v>952</v>
      </c>
      <c r="E34" s="7" t="s">
        <v>12</v>
      </c>
      <c r="F34" s="49" t="s">
        <v>38</v>
      </c>
      <c r="G34" s="51" t="s">
        <v>65</v>
      </c>
    </row>
    <row r="35" spans="1:7" ht="44" customHeight="1" x14ac:dyDescent="0.2">
      <c r="A35" s="48" t="s">
        <v>801</v>
      </c>
      <c r="B35" s="48" t="s">
        <v>953</v>
      </c>
      <c r="C35" s="48" t="s">
        <v>954</v>
      </c>
      <c r="D35" s="48" t="s">
        <v>955</v>
      </c>
      <c r="E35" s="7" t="s">
        <v>12</v>
      </c>
      <c r="F35" s="6" t="s">
        <v>65</v>
      </c>
      <c r="G35" s="50" t="s">
        <v>780</v>
      </c>
    </row>
    <row r="36" spans="1:7" ht="44" customHeight="1" x14ac:dyDescent="0.2">
      <c r="A36" s="48" t="s">
        <v>801</v>
      </c>
      <c r="B36" s="48" t="s">
        <v>956</v>
      </c>
      <c r="C36" s="48" t="s">
        <v>940</v>
      </c>
      <c r="D36" s="48" t="s">
        <v>957</v>
      </c>
      <c r="E36" s="7" t="s">
        <v>12</v>
      </c>
      <c r="F36" s="6" t="s">
        <v>65</v>
      </c>
      <c r="G36" s="50" t="s">
        <v>780</v>
      </c>
    </row>
    <row r="37" spans="1:7" ht="44" customHeight="1" x14ac:dyDescent="0.2">
      <c r="A37" s="48" t="s">
        <v>801</v>
      </c>
      <c r="B37" s="48" t="s">
        <v>958</v>
      </c>
      <c r="C37" s="48" t="s">
        <v>940</v>
      </c>
      <c r="D37" s="48" t="s">
        <v>959</v>
      </c>
      <c r="E37" s="7" t="s">
        <v>12</v>
      </c>
      <c r="F37" s="49" t="s">
        <v>38</v>
      </c>
      <c r="G37" s="51" t="s">
        <v>65</v>
      </c>
    </row>
    <row r="38" spans="1:7" ht="44" customHeight="1" x14ac:dyDescent="0.2">
      <c r="A38" s="48" t="s">
        <v>960</v>
      </c>
      <c r="B38" s="48" t="s">
        <v>961</v>
      </c>
      <c r="C38" s="48" t="s">
        <v>962</v>
      </c>
      <c r="D38" s="48" t="s">
        <v>963</v>
      </c>
      <c r="E38" s="2" t="s">
        <v>8</v>
      </c>
      <c r="F38" s="7" t="s">
        <v>55</v>
      </c>
      <c r="G38" s="50" t="s">
        <v>780</v>
      </c>
    </row>
    <row r="39" spans="1:7" ht="44" customHeight="1" x14ac:dyDescent="0.2">
      <c r="A39" s="48" t="s">
        <v>960</v>
      </c>
      <c r="B39" s="48" t="s">
        <v>964</v>
      </c>
      <c r="C39" s="48" t="s">
        <v>965</v>
      </c>
      <c r="D39" s="48" t="s">
        <v>966</v>
      </c>
      <c r="E39" s="2" t="s">
        <v>8</v>
      </c>
      <c r="F39" s="7" t="s">
        <v>55</v>
      </c>
      <c r="G39" s="50" t="s">
        <v>780</v>
      </c>
    </row>
    <row r="40" spans="1:7" ht="44" customHeight="1" x14ac:dyDescent="0.2">
      <c r="A40" s="48" t="s">
        <v>960</v>
      </c>
      <c r="B40" s="48" t="s">
        <v>967</v>
      </c>
      <c r="C40" s="48" t="s">
        <v>968</v>
      </c>
      <c r="D40" s="48" t="s">
        <v>969</v>
      </c>
      <c r="E40" s="2" t="s">
        <v>8</v>
      </c>
      <c r="F40" s="7" t="s">
        <v>55</v>
      </c>
      <c r="G40" s="50" t="s">
        <v>780</v>
      </c>
    </row>
    <row r="41" spans="1:7" ht="44" customHeight="1" x14ac:dyDescent="0.2">
      <c r="A41" s="48" t="s">
        <v>960</v>
      </c>
      <c r="B41" s="48" t="s">
        <v>970</v>
      </c>
      <c r="C41" s="48" t="s">
        <v>971</v>
      </c>
      <c r="D41" s="48" t="s">
        <v>972</v>
      </c>
      <c r="E41" s="2" t="s">
        <v>8</v>
      </c>
      <c r="F41" s="6" t="s">
        <v>65</v>
      </c>
      <c r="G41" s="50" t="s">
        <v>780</v>
      </c>
    </row>
    <row r="42" spans="1:7" ht="44" customHeight="1" x14ac:dyDescent="0.2">
      <c r="A42" s="48" t="s">
        <v>960</v>
      </c>
      <c r="B42" s="48" t="s">
        <v>973</v>
      </c>
      <c r="C42" s="48" t="s">
        <v>974</v>
      </c>
      <c r="D42" s="48" t="s">
        <v>975</v>
      </c>
      <c r="E42" s="2" t="s">
        <v>8</v>
      </c>
      <c r="F42" s="6" t="s">
        <v>65</v>
      </c>
      <c r="G42" s="50" t="s">
        <v>780</v>
      </c>
    </row>
    <row r="43" spans="1:7" ht="44" customHeight="1" x14ac:dyDescent="0.2">
      <c r="A43" s="48" t="s">
        <v>960</v>
      </c>
      <c r="B43" s="48" t="s">
        <v>976</v>
      </c>
      <c r="C43" s="48" t="s">
        <v>940</v>
      </c>
      <c r="D43" s="48" t="s">
        <v>977</v>
      </c>
      <c r="E43" s="7" t="s">
        <v>12</v>
      </c>
      <c r="F43" s="6" t="s">
        <v>65</v>
      </c>
      <c r="G43" s="51" t="s">
        <v>65</v>
      </c>
    </row>
    <row r="44" spans="1:7" ht="44" customHeight="1" x14ac:dyDescent="0.2">
      <c r="A44" s="48" t="s">
        <v>960</v>
      </c>
      <c r="B44" s="48" t="s">
        <v>978</v>
      </c>
      <c r="C44" s="48" t="s">
        <v>940</v>
      </c>
      <c r="D44" s="48" t="s">
        <v>979</v>
      </c>
      <c r="E44" s="7" t="s">
        <v>12</v>
      </c>
      <c r="F44" s="49" t="s">
        <v>38</v>
      </c>
      <c r="G44" s="51" t="s">
        <v>65</v>
      </c>
    </row>
    <row r="45" spans="1:7" ht="44" customHeight="1" x14ac:dyDescent="0.2">
      <c r="A45" s="48" t="s">
        <v>960</v>
      </c>
      <c r="B45" s="48" t="s">
        <v>980</v>
      </c>
      <c r="C45" s="48" t="s">
        <v>981</v>
      </c>
      <c r="D45" s="48" t="s">
        <v>982</v>
      </c>
      <c r="E45" s="2" t="s">
        <v>8</v>
      </c>
      <c r="F45" s="7" t="s">
        <v>55</v>
      </c>
      <c r="G45" s="51" t="s">
        <v>65</v>
      </c>
    </row>
    <row r="46" spans="1:7" ht="44" customHeight="1" x14ac:dyDescent="0.2">
      <c r="A46" s="48" t="s">
        <v>960</v>
      </c>
      <c r="B46" s="48" t="s">
        <v>983</v>
      </c>
      <c r="C46" s="48" t="s">
        <v>984</v>
      </c>
      <c r="D46" s="48" t="s">
        <v>985</v>
      </c>
      <c r="E46" s="2" t="s">
        <v>8</v>
      </c>
      <c r="F46" s="6" t="s">
        <v>65</v>
      </c>
      <c r="G46" s="51" t="s">
        <v>65</v>
      </c>
    </row>
    <row r="47" spans="1:7" ht="44" customHeight="1" x14ac:dyDescent="0.2">
      <c r="A47" s="48" t="s">
        <v>960</v>
      </c>
      <c r="B47" s="48" t="s">
        <v>986</v>
      </c>
      <c r="C47" s="48" t="s">
        <v>987</v>
      </c>
      <c r="D47" s="48" t="s">
        <v>988</v>
      </c>
      <c r="E47" s="6" t="s">
        <v>10</v>
      </c>
      <c r="F47" s="49" t="s">
        <v>38</v>
      </c>
      <c r="G47" s="50" t="s">
        <v>780</v>
      </c>
    </row>
    <row r="48" spans="1:7" ht="44" customHeight="1" x14ac:dyDescent="0.2">
      <c r="A48" s="48" t="s">
        <v>989</v>
      </c>
      <c r="B48" s="48" t="s">
        <v>990</v>
      </c>
      <c r="C48" s="48" t="s">
        <v>991</v>
      </c>
      <c r="D48" s="48" t="s">
        <v>992</v>
      </c>
      <c r="E48" s="2" t="s">
        <v>8</v>
      </c>
      <c r="F48" s="7" t="s">
        <v>55</v>
      </c>
      <c r="G48" s="50" t="s">
        <v>780</v>
      </c>
    </row>
    <row r="49" spans="1:7" ht="44" customHeight="1" x14ac:dyDescent="0.2">
      <c r="A49" s="48" t="s">
        <v>989</v>
      </c>
      <c r="B49" s="48" t="s">
        <v>993</v>
      </c>
      <c r="C49" s="48" t="s">
        <v>994</v>
      </c>
      <c r="D49" s="48" t="s">
        <v>995</v>
      </c>
      <c r="E49" s="2" t="s">
        <v>8</v>
      </c>
      <c r="F49" s="6" t="s">
        <v>65</v>
      </c>
      <c r="G49" s="50" t="s">
        <v>780</v>
      </c>
    </row>
    <row r="50" spans="1:7" ht="44" customHeight="1" x14ac:dyDescent="0.2">
      <c r="A50" s="48" t="s">
        <v>989</v>
      </c>
      <c r="B50" s="48" t="s">
        <v>996</v>
      </c>
      <c r="C50" s="48" t="s">
        <v>940</v>
      </c>
      <c r="D50" s="48" t="s">
        <v>997</v>
      </c>
      <c r="E50" s="7" t="s">
        <v>12</v>
      </c>
      <c r="F50" s="6" t="s">
        <v>65</v>
      </c>
      <c r="G50" s="51" t="s">
        <v>65</v>
      </c>
    </row>
    <row r="51" spans="1:7" ht="44" customHeight="1" x14ac:dyDescent="0.2">
      <c r="A51" s="48" t="s">
        <v>989</v>
      </c>
      <c r="B51" s="48" t="s">
        <v>998</v>
      </c>
      <c r="C51" s="48" t="s">
        <v>999</v>
      </c>
      <c r="D51" s="48" t="s">
        <v>1000</v>
      </c>
      <c r="E51" s="7" t="s">
        <v>12</v>
      </c>
      <c r="F51" s="6" t="s">
        <v>65</v>
      </c>
      <c r="G51" s="50" t="s">
        <v>780</v>
      </c>
    </row>
    <row r="52" spans="1:7" ht="44" customHeight="1" x14ac:dyDescent="0.2">
      <c r="A52" s="48" t="s">
        <v>989</v>
      </c>
      <c r="B52" s="48" t="s">
        <v>1001</v>
      </c>
      <c r="C52" s="48" t="s">
        <v>940</v>
      </c>
      <c r="D52" s="48" t="s">
        <v>1002</v>
      </c>
      <c r="E52" s="7" t="s">
        <v>12</v>
      </c>
      <c r="F52" s="49" t="s">
        <v>38</v>
      </c>
      <c r="G52" s="50" t="s">
        <v>780</v>
      </c>
    </row>
    <row r="53" spans="1:7" ht="44" customHeight="1" x14ac:dyDescent="0.2">
      <c r="A53" s="48" t="s">
        <v>1003</v>
      </c>
      <c r="B53" s="48" t="s">
        <v>1004</v>
      </c>
      <c r="C53" s="48" t="s">
        <v>940</v>
      </c>
      <c r="D53" s="48" t="s">
        <v>1005</v>
      </c>
      <c r="E53" s="7" t="s">
        <v>12</v>
      </c>
      <c r="F53" s="6" t="s">
        <v>65</v>
      </c>
      <c r="G53" s="51" t="s">
        <v>65</v>
      </c>
    </row>
    <row r="54" spans="1:7" ht="44" customHeight="1" x14ac:dyDescent="0.2">
      <c r="A54" s="48" t="s">
        <v>1003</v>
      </c>
      <c r="B54" s="48" t="s">
        <v>1006</v>
      </c>
      <c r="C54" s="48" t="s">
        <v>1007</v>
      </c>
      <c r="D54" s="48" t="s">
        <v>1008</v>
      </c>
      <c r="E54" s="2" t="s">
        <v>8</v>
      </c>
      <c r="F54" s="7" t="s">
        <v>55</v>
      </c>
      <c r="G54" s="51" t="s">
        <v>65</v>
      </c>
    </row>
    <row r="55" spans="1:7" ht="44" customHeight="1" x14ac:dyDescent="0.2">
      <c r="A55" s="48" t="s">
        <v>1003</v>
      </c>
      <c r="B55" s="48" t="s">
        <v>1009</v>
      </c>
      <c r="C55" s="48" t="s">
        <v>1010</v>
      </c>
      <c r="D55" s="48" t="s">
        <v>1011</v>
      </c>
      <c r="E55" s="7" t="s">
        <v>12</v>
      </c>
      <c r="F55" s="49" t="s">
        <v>38</v>
      </c>
      <c r="G55" s="50" t="s">
        <v>780</v>
      </c>
    </row>
    <row r="56" spans="1:7" ht="44" customHeight="1" x14ac:dyDescent="0.2">
      <c r="A56" s="48" t="s">
        <v>1012</v>
      </c>
      <c r="B56" s="48" t="s">
        <v>1013</v>
      </c>
      <c r="C56" s="48" t="s">
        <v>1014</v>
      </c>
      <c r="D56" s="48" t="s">
        <v>1015</v>
      </c>
      <c r="E56" s="2" t="s">
        <v>8</v>
      </c>
      <c r="F56" s="7" t="s">
        <v>55</v>
      </c>
      <c r="G56" s="50" t="s">
        <v>780</v>
      </c>
    </row>
    <row r="57" spans="1:7" ht="44" customHeight="1" x14ac:dyDescent="0.2">
      <c r="A57" s="48" t="s">
        <v>1012</v>
      </c>
      <c r="B57" s="48" t="s">
        <v>1016</v>
      </c>
      <c r="C57" s="48" t="s">
        <v>1017</v>
      </c>
      <c r="D57" s="48" t="s">
        <v>1018</v>
      </c>
      <c r="E57" s="2" t="s">
        <v>8</v>
      </c>
      <c r="F57" s="7" t="s">
        <v>55</v>
      </c>
      <c r="G57" s="50" t="s">
        <v>780</v>
      </c>
    </row>
    <row r="58" spans="1:7" ht="44" customHeight="1" x14ac:dyDescent="0.2">
      <c r="A58" s="48" t="s">
        <v>1012</v>
      </c>
      <c r="B58" s="48" t="s">
        <v>1019</v>
      </c>
      <c r="C58" s="48" t="s">
        <v>1020</v>
      </c>
      <c r="D58" s="48" t="s">
        <v>1021</v>
      </c>
      <c r="E58" s="2" t="s">
        <v>8</v>
      </c>
      <c r="F58" s="7" t="s">
        <v>55</v>
      </c>
      <c r="G58" s="50" t="s">
        <v>780</v>
      </c>
    </row>
    <row r="59" spans="1:7" ht="44" customHeight="1" x14ac:dyDescent="0.2">
      <c r="A59" s="48" t="s">
        <v>1012</v>
      </c>
      <c r="B59" s="48" t="s">
        <v>1022</v>
      </c>
      <c r="C59" s="48" t="s">
        <v>1023</v>
      </c>
      <c r="D59" s="48" t="s">
        <v>1024</v>
      </c>
      <c r="E59" s="2" t="s">
        <v>8</v>
      </c>
      <c r="F59" s="6" t="s">
        <v>65</v>
      </c>
      <c r="G59" s="50" t="s">
        <v>780</v>
      </c>
    </row>
    <row r="60" spans="1:7" ht="44" customHeight="1" x14ac:dyDescent="0.2">
      <c r="A60" s="48" t="s">
        <v>1012</v>
      </c>
      <c r="B60" s="48" t="s">
        <v>1025</v>
      </c>
      <c r="C60" s="48" t="s">
        <v>1026</v>
      </c>
      <c r="D60" s="48" t="s">
        <v>1027</v>
      </c>
      <c r="E60" s="7" t="s">
        <v>12</v>
      </c>
      <c r="F60" s="49" t="s">
        <v>38</v>
      </c>
      <c r="G60" s="51" t="s">
        <v>65</v>
      </c>
    </row>
    <row r="61" spans="1:7" ht="44" customHeight="1" x14ac:dyDescent="0.2">
      <c r="A61" s="48" t="s">
        <v>1028</v>
      </c>
      <c r="B61" s="48" t="s">
        <v>1029</v>
      </c>
      <c r="C61" s="48" t="s">
        <v>1030</v>
      </c>
      <c r="D61" s="48" t="s">
        <v>1031</v>
      </c>
      <c r="E61" s="2" t="s">
        <v>8</v>
      </c>
      <c r="F61" s="7" t="s">
        <v>55</v>
      </c>
      <c r="G61" s="50" t="s">
        <v>780</v>
      </c>
    </row>
    <row r="62" spans="1:7" ht="44" customHeight="1" x14ac:dyDescent="0.2">
      <c r="A62" s="48" t="s">
        <v>1028</v>
      </c>
      <c r="B62" s="48" t="s">
        <v>1032</v>
      </c>
      <c r="C62" s="48" t="s">
        <v>1033</v>
      </c>
      <c r="D62" s="48" t="s">
        <v>1034</v>
      </c>
      <c r="E62" s="2" t="s">
        <v>8</v>
      </c>
      <c r="F62" s="7" t="s">
        <v>55</v>
      </c>
      <c r="G62" s="50" t="s">
        <v>780</v>
      </c>
    </row>
    <row r="63" spans="1:7" ht="44" customHeight="1" x14ac:dyDescent="0.2">
      <c r="A63" s="48" t="s">
        <v>1028</v>
      </c>
      <c r="B63" s="48" t="s">
        <v>875</v>
      </c>
      <c r="C63" s="48" t="s">
        <v>1035</v>
      </c>
      <c r="D63" s="48" t="s">
        <v>1036</v>
      </c>
      <c r="E63" s="2" t="s">
        <v>8</v>
      </c>
      <c r="F63" s="7" t="s">
        <v>55</v>
      </c>
      <c r="G63" s="50" t="s">
        <v>780</v>
      </c>
    </row>
    <row r="64" spans="1:7" ht="44" customHeight="1" x14ac:dyDescent="0.2">
      <c r="A64" s="48" t="s">
        <v>1028</v>
      </c>
      <c r="B64" s="48" t="s">
        <v>1037</v>
      </c>
      <c r="C64" s="48" t="s">
        <v>1038</v>
      </c>
      <c r="D64" s="48" t="s">
        <v>1039</v>
      </c>
      <c r="E64" s="7" t="s">
        <v>12</v>
      </c>
      <c r="F64" s="49" t="s">
        <v>38</v>
      </c>
      <c r="G64" s="50" t="s">
        <v>780</v>
      </c>
    </row>
    <row r="65" spans="1:7" ht="44" customHeight="1" x14ac:dyDescent="0.2">
      <c r="A65" s="48" t="s">
        <v>1040</v>
      </c>
      <c r="B65" s="48" t="s">
        <v>1041</v>
      </c>
      <c r="C65" s="48" t="s">
        <v>1042</v>
      </c>
      <c r="D65" s="48" t="s">
        <v>1043</v>
      </c>
      <c r="E65" s="2" t="s">
        <v>8</v>
      </c>
      <c r="F65" s="7" t="s">
        <v>55</v>
      </c>
      <c r="G65" s="50" t="s">
        <v>780</v>
      </c>
    </row>
    <row r="66" spans="1:7" ht="44" customHeight="1" x14ac:dyDescent="0.2">
      <c r="A66" s="48" t="s">
        <v>1040</v>
      </c>
      <c r="B66" s="48" t="s">
        <v>1044</v>
      </c>
      <c r="C66" s="48" t="s">
        <v>1045</v>
      </c>
      <c r="D66" s="48" t="s">
        <v>1046</v>
      </c>
      <c r="E66" s="2" t="s">
        <v>8</v>
      </c>
      <c r="F66" s="7" t="s">
        <v>55</v>
      </c>
      <c r="G66" s="51" t="s">
        <v>65</v>
      </c>
    </row>
    <row r="67" spans="1:7" ht="44" customHeight="1" x14ac:dyDescent="0.2">
      <c r="A67" s="48" t="s">
        <v>1040</v>
      </c>
      <c r="B67" s="48" t="s">
        <v>1047</v>
      </c>
      <c r="C67" s="48" t="s">
        <v>940</v>
      </c>
      <c r="D67" s="48" t="s">
        <v>1048</v>
      </c>
      <c r="E67" s="7" t="s">
        <v>12</v>
      </c>
      <c r="F67" s="6" t="s">
        <v>65</v>
      </c>
      <c r="G67" s="50" t="s">
        <v>780</v>
      </c>
    </row>
    <row r="68" spans="1:7" ht="44" customHeight="1" x14ac:dyDescent="0.2">
      <c r="A68" s="48" t="s">
        <v>1040</v>
      </c>
      <c r="B68" s="48" t="s">
        <v>1049</v>
      </c>
      <c r="C68" s="48" t="s">
        <v>940</v>
      </c>
      <c r="D68" s="48" t="s">
        <v>1050</v>
      </c>
      <c r="E68" s="7" t="s">
        <v>12</v>
      </c>
      <c r="F68" s="49" t="s">
        <v>38</v>
      </c>
      <c r="G68" s="51" t="s">
        <v>65</v>
      </c>
    </row>
    <row r="69" spans="1:7" ht="44" customHeight="1" x14ac:dyDescent="0.2">
      <c r="A69" s="48" t="s">
        <v>1051</v>
      </c>
      <c r="B69" s="48" t="s">
        <v>1052</v>
      </c>
      <c r="C69" s="48" t="s">
        <v>1053</v>
      </c>
      <c r="D69" s="48" t="s">
        <v>1054</v>
      </c>
      <c r="E69" s="6" t="s">
        <v>10</v>
      </c>
      <c r="F69" s="6" t="s">
        <v>65</v>
      </c>
      <c r="G69" s="50" t="s">
        <v>780</v>
      </c>
    </row>
    <row r="70" spans="1:7" ht="44" customHeight="1" x14ac:dyDescent="0.2">
      <c r="A70" s="48" t="s">
        <v>1051</v>
      </c>
      <c r="B70" s="48" t="s">
        <v>1055</v>
      </c>
      <c r="C70" s="48" t="s">
        <v>940</v>
      </c>
      <c r="D70" s="48" t="s">
        <v>1056</v>
      </c>
      <c r="E70" s="7" t="s">
        <v>12</v>
      </c>
      <c r="F70" s="6" t="s">
        <v>65</v>
      </c>
      <c r="G70" s="50" t="s">
        <v>780</v>
      </c>
    </row>
    <row r="71" spans="1:7" ht="44" customHeight="1" x14ac:dyDescent="0.2">
      <c r="A71" s="48" t="s">
        <v>1051</v>
      </c>
      <c r="B71" s="48" t="s">
        <v>1057</v>
      </c>
      <c r="C71" s="48" t="s">
        <v>940</v>
      </c>
      <c r="D71" s="48" t="s">
        <v>1058</v>
      </c>
      <c r="E71" s="7" t="s">
        <v>12</v>
      </c>
      <c r="F71" s="6" t="s">
        <v>65</v>
      </c>
      <c r="G71" s="50" t="s">
        <v>780</v>
      </c>
    </row>
    <row r="72" spans="1:7" ht="44" customHeight="1" x14ac:dyDescent="0.2">
      <c r="A72" s="48" t="s">
        <v>1051</v>
      </c>
      <c r="B72" s="48" t="s">
        <v>1059</v>
      </c>
      <c r="C72" s="48" t="s">
        <v>1060</v>
      </c>
      <c r="D72" s="48" t="s">
        <v>1061</v>
      </c>
      <c r="E72" s="2" t="s">
        <v>8</v>
      </c>
      <c r="F72" s="7" t="s">
        <v>55</v>
      </c>
      <c r="G72" s="50" t="s">
        <v>780</v>
      </c>
    </row>
    <row r="73" spans="1:7" ht="44" customHeight="1" x14ac:dyDescent="0.2">
      <c r="A73" s="48" t="s">
        <v>1051</v>
      </c>
      <c r="B73" s="48" t="s">
        <v>1062</v>
      </c>
      <c r="C73" s="48" t="s">
        <v>1063</v>
      </c>
      <c r="D73" s="48" t="s">
        <v>1064</v>
      </c>
      <c r="E73" s="7" t="s">
        <v>12</v>
      </c>
      <c r="F73" s="49" t="s">
        <v>38</v>
      </c>
      <c r="G73" s="51" t="s">
        <v>65</v>
      </c>
    </row>
    <row r="74" spans="1:7" ht="44" customHeight="1" x14ac:dyDescent="0.2">
      <c r="A74" s="48" t="s">
        <v>1051</v>
      </c>
      <c r="B74" s="48" t="s">
        <v>1065</v>
      </c>
      <c r="C74" s="48" t="s">
        <v>940</v>
      </c>
      <c r="D74" s="48" t="s">
        <v>1066</v>
      </c>
      <c r="E74" s="7" t="s">
        <v>12</v>
      </c>
      <c r="F74" s="49" t="s">
        <v>38</v>
      </c>
      <c r="G74" s="50" t="s">
        <v>780</v>
      </c>
    </row>
    <row r="75" spans="1:7" ht="44" customHeight="1" x14ac:dyDescent="0.2">
      <c r="A75" s="48" t="s">
        <v>1051</v>
      </c>
      <c r="B75" s="48" t="s">
        <v>1067</v>
      </c>
      <c r="C75" s="48" t="s">
        <v>1068</v>
      </c>
      <c r="D75" s="48" t="s">
        <v>1069</v>
      </c>
      <c r="E75" s="7" t="s">
        <v>12</v>
      </c>
      <c r="F75" s="49" t="s">
        <v>38</v>
      </c>
      <c r="G75" s="51" t="s">
        <v>65</v>
      </c>
    </row>
  </sheetData>
  <autoFilter ref="A19:G75" xr:uid="{00000000-0009-0000-0000-000008000000}"/>
  <mergeCells count="6">
    <mergeCell ref="A14:G14"/>
    <mergeCell ref="A1:G1"/>
    <mergeCell ref="A17:G17"/>
    <mergeCell ref="A4:G4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Full Matrix</vt:lpstr>
      <vt:lpstr>Gap Backlog</vt:lpstr>
      <vt:lpstr>Partial Refinements</vt:lpstr>
      <vt:lpstr>Module Coverage</vt:lpstr>
      <vt:lpstr>Roadmap</vt:lpstr>
      <vt:lpstr>Features vs Requested</vt:lpstr>
      <vt:lpstr>Job Requisition Gap</vt:lpstr>
      <vt:lpstr>Task Management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Sanchez</cp:lastModifiedBy>
  <dcterms:created xsi:type="dcterms:W3CDTF">2026-04-24T03:33:36Z</dcterms:created>
  <dcterms:modified xsi:type="dcterms:W3CDTF">2026-04-24T07:32:52Z</dcterms:modified>
</cp:coreProperties>
</file>